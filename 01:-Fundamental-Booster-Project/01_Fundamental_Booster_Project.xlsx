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eep\Documents\project1\"/>
    </mc:Choice>
  </mc:AlternateContent>
  <xr:revisionPtr revIDLastSave="0" documentId="13_ncr:1_{B0199AE6-D6D4-4666-87F9-786CED2FBF91}" xr6:coauthVersionLast="47" xr6:coauthVersionMax="47" xr10:uidLastSave="{00000000-0000-0000-0000-000000000000}"/>
  <bookViews>
    <workbookView xWindow="-108" yWindow="-108" windowWidth="23256" windowHeight="12456" xr2:uid="{F38741A3-B597-465B-84A5-08D2428F9450}"/>
  </bookViews>
  <sheets>
    <sheet name="Student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" l="1"/>
  <c r="K27" i="2"/>
  <c r="K28" i="2"/>
  <c r="J26" i="2"/>
  <c r="J27" i="2"/>
  <c r="J28" i="2"/>
  <c r="I26" i="2"/>
  <c r="I27" i="2"/>
  <c r="I28" i="2"/>
  <c r="H26" i="2"/>
  <c r="H27" i="2"/>
  <c r="H28" i="2"/>
  <c r="H25" i="2"/>
  <c r="I25" i="2"/>
  <c r="J25" i="2"/>
  <c r="K25" i="2"/>
  <c r="G26" i="2"/>
  <c r="G27" i="2"/>
  <c r="G28" i="2"/>
  <c r="G25" i="2"/>
  <c r="C34" i="2"/>
  <c r="C32" i="2"/>
  <c r="F26" i="1"/>
  <c r="K2" i="1"/>
  <c r="G2" i="1"/>
  <c r="G2" i="3"/>
  <c r="H3" i="3" a="1"/>
  <c r="B34" i="3"/>
  <c r="G36" i="1"/>
  <c r="F31" i="1"/>
  <c r="F40" i="1" a="1"/>
  <c r="H3" i="1"/>
  <c r="I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G21" i="1"/>
  <c r="K3" i="2" a="1"/>
  <c r="C30" i="2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B3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B32" i="1"/>
  <c r="B31" i="1"/>
  <c r="B25" i="1"/>
  <c r="C33" i="2"/>
  <c r="H2" i="2"/>
  <c r="C31" i="2"/>
  <c r="B33" i="3"/>
  <c r="B39" i="3"/>
  <c r="B38" i="3"/>
  <c r="B25" i="3"/>
  <c r="B26" i="3"/>
  <c r="B27" i="3"/>
  <c r="B2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B24" i="2"/>
  <c r="B25" i="2"/>
  <c r="B26" i="2"/>
  <c r="B2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H2" i="1"/>
  <c r="A44" i="1" l="1" a="1"/>
  <c r="I2" i="1"/>
  <c r="I21" i="1" l="1"/>
  <c r="B38" i="1"/>
  <c r="B36" i="1"/>
  <c r="B26" i="1"/>
  <c r="N2" i="1"/>
  <c r="O2" i="1"/>
  <c r="B40" i="1" l="1"/>
  <c r="B39" i="1"/>
  <c r="B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<sst xmlns="http://schemas.openxmlformats.org/spreadsheetml/2006/main" count="226" uniqueCount="157">
  <si>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</si>
  <si>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</si>
  <si>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</si>
  <si>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</si>
  <si>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</si>
  <si>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</si>
  <si>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</si>
  <si>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</si>
  <si>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</si>
  <si>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</si>
  <si>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</si>
  <si>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</si>
  <si>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</si>
  <si>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</si>
  <si>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</si>
  <si>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</si>
  <si>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</si>
  <si>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</si>
  <si>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</si>
  <si>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</si>
  <si>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</si>
  <si>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</si>
  <si>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</si>
  <si>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</si>
  <si>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</si>
  <si>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</si>
  <si>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</si>
  <si>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</si>
  <si>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</si>
  <si>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</si>
  <si>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</si>
  <si>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</si>
  <si>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</si>
  <si>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</si>
  <si>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</si>
  <si>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</si>
  <si>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</si>
  <si>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</si>
  <si>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</si>
  <si>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</si>
  <si>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</si>
  <si>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</si>
  <si>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</si>
  <si>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</si>
  <si>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</si>
  <si>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</si>
  <si>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</si>
  <si>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</si>
  <si>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</si>
  <si>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</si>
  <si>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</si>
  <si>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</si>
  <si>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</si>
  <si>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</si>
  <si>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</si>
  <si>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</si>
  <si>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</si>
  <si>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</si>
  <si>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</si>
  <si>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</si>
  <si>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</si>
  <si>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</si>
  <si>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</si>
  <si>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</si>
  <si>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</si>
  <si>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</si>
  <si>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</si>
  <si>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</si>
  <si>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</si>
  <si>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</si>
  <si>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</si>
  <si>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</si>
  <si>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</si>
  <si>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</si>
  <si>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</si>
  <si>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</si>
  <si>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</si>
  <si>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</si>
  <si>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</si>
  <si>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</si>
  <si>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</si>
  <si>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</si>
  <si>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</si>
  <si>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</si>
  <si>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</si>
  <si>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</si>
  <si>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</si>
  <si>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</si>
  <si>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</si>
  <si>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Average Score</t>
  </si>
  <si>
    <t>Grade</t>
  </si>
  <si>
    <t>First Name</t>
  </si>
  <si>
    <t>UpperCase Name</t>
  </si>
  <si>
    <t>Average Marks</t>
  </si>
  <si>
    <t>Highest Marks</t>
  </si>
  <si>
    <t>A+</t>
  </si>
  <si>
    <t>B</t>
  </si>
  <si>
    <t>C</t>
  </si>
  <si>
    <t>F</t>
  </si>
  <si>
    <t>Discount Eligible(IF OR)</t>
  </si>
  <si>
    <t>Ceiling Amount</t>
  </si>
  <si>
    <t>Floor Amount</t>
  </si>
  <si>
    <t>Total Sales</t>
  </si>
  <si>
    <t>Average Sales</t>
  </si>
  <si>
    <t>Highest Sale</t>
  </si>
  <si>
    <t>Lowest Sale</t>
  </si>
  <si>
    <t>Formula</t>
  </si>
  <si>
    <t>Lower Name</t>
  </si>
  <si>
    <t>Total Salary</t>
  </si>
  <si>
    <t>Average Salary</t>
  </si>
  <si>
    <t>Maximum Salary</t>
  </si>
  <si>
    <t>Minimum Salary</t>
  </si>
  <si>
    <t>Sales Lookup</t>
  </si>
  <si>
    <t>Employee Summary</t>
  </si>
  <si>
    <t>employee lookup</t>
  </si>
  <si>
    <t>EmployeeID</t>
  </si>
  <si>
    <t>Salary (INDEX MATCH)</t>
  </si>
  <si>
    <t>Salary (XLOOKUP)</t>
  </si>
  <si>
    <t>Salary Rounding</t>
  </si>
  <si>
    <t>Maximum Salary Rounded up</t>
  </si>
  <si>
    <t>Minimum Salary Rounded Down</t>
  </si>
  <si>
    <t>Result</t>
  </si>
  <si>
    <t>Discount Amount (Nested IF)</t>
  </si>
  <si>
    <t>Indirect Function</t>
  </si>
  <si>
    <t>Date Different</t>
  </si>
  <si>
    <t xml:space="preserve"> Sales  Summary</t>
  </si>
  <si>
    <t>Students with Score &gt; 60</t>
  </si>
  <si>
    <t>Student Summary</t>
  </si>
  <si>
    <t>Total Students</t>
  </si>
  <si>
    <t>Subject</t>
  </si>
  <si>
    <t>Grade-wise Student Count Table</t>
  </si>
  <si>
    <t>No. of Studens</t>
  </si>
  <si>
    <t>Region-Wise Product Sales Summary</t>
  </si>
  <si>
    <t>Total</t>
  </si>
  <si>
    <t>Math &amp; Science &gt; 80(AND)</t>
  </si>
  <si>
    <t>Math Score&gt;50(Countifs)</t>
  </si>
  <si>
    <t>A</t>
  </si>
  <si>
    <t>Average Score &gt;60</t>
  </si>
  <si>
    <t>StudentID</t>
  </si>
  <si>
    <t>B2</t>
  </si>
  <si>
    <t>Person 12 Amount(XLOOKUP)</t>
  </si>
  <si>
    <t>Printer Position(XMATCH)</t>
  </si>
  <si>
    <t>Sales Person(Index,Match)</t>
  </si>
  <si>
    <t>5 product</t>
  </si>
  <si>
    <t>First five sales total(OFFSET)</t>
  </si>
  <si>
    <t>INDIRECT Function</t>
  </si>
  <si>
    <t>B4</t>
  </si>
  <si>
    <t>Extract a list of top-performing students based on scores.(Filter)</t>
  </si>
  <si>
    <t>VLookup Function</t>
  </si>
  <si>
    <t>A15</t>
  </si>
  <si>
    <t>Calculate age from date of birth</t>
  </si>
  <si>
    <t>Date Of Birth</t>
  </si>
  <si>
    <t>Age(Year)</t>
  </si>
  <si>
    <t>Date Difference in Days</t>
  </si>
  <si>
    <t>Start Date</t>
  </si>
  <si>
    <t>End Date</t>
  </si>
  <si>
    <t>Difference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</si>
</sst>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i/>
      <sz val="12"/>
      <color theme="0"/>
      <name val="Calibri"/>
      <family val="2"/>
      <scheme val="minor"/>
    </font>
    <font>
      <b/>
      <sz val="12"/>
      <color theme="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6" xfId="0" applyBorder="1"/>
    <xf numFmtId="22" fontId="0" fillId="0" borderId="8" xfId="0" applyNumberFormat="1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 wrapText="1" indent="1" readingOrder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2" fontId="0" fillId="0" borderId="14" xfId="0" applyNumberForma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4" borderId="9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8C5B-B742-482C-A265-E3E66FF1AD80}">
  <dimension ref="A1:Q49"/>
  <sheetViews>
    <sheetView tabSelected="1" zoomScale="82" zoomScaleNormal="82" workbookViewId="0">
      <selection activeCell="I39" sqref="I39"/>
    </sheetView>
  </sheetViews>
  <sheetFormatPr defaultRowHeight="14.4"/>
  <cols>
    <col min="1" max="1" width="16.88671875" bestFit="1" customWidth="1"/>
    <col min="2" max="2" width="13.88671875" bestFit="1" customWidth="1"/>
    <col min="3" max="3" width="7.21875" bestFit="1" customWidth="1"/>
    <col min="4" max="4" width="7.6640625" bestFit="1" customWidth="1"/>
    <col min="5" max="6" width="16.88671875" bestFit="1" customWidth="1"/>
    <col min="7" max="7" width="16.88671875" customWidth="1"/>
    <col min="8" max="8" width="13.5546875" bestFit="1" customWidth="1"/>
    <col min="9" max="9" width="6.44140625" bestFit="1" customWidth="1"/>
    <col min="10" max="10" width="24.5546875" bestFit="1" customWidth="1"/>
    <col min="11" max="11" width="10.77734375" customWidth="1"/>
    <col min="12" max="12" width="16.44140625" bestFit="1" customWidth="1"/>
    <col min="13" max="13" width="22.109375" bestFit="1" customWidth="1"/>
    <col min="14" max="14" width="23.109375" bestFit="1" customWidth="1"/>
    <col min="15" max="15" width="17.44140625" bestFit="1" customWidth="1"/>
    <col min="16" max="16" width="23" bestFit="1" customWidth="1"/>
    <col min="17" max="17" width="10.5546875" bestFit="1" customWidth="1"/>
  </cols>
  <sheetData>
    <row r="1" spans="1:17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43" t="s">
        <v>133</v>
      </c>
      <c r="H1" s="42" t="s">
        <v>89</v>
      </c>
      <c r="I1" s="24" t="s">
        <v>90</v>
      </c>
      <c r="J1" s="24" t="s">
        <v>134</v>
      </c>
      <c r="K1" s="24" t="s">
        <v>91</v>
      </c>
      <c r="L1" s="24" t="s">
        <v>92</v>
      </c>
      <c r="M1" s="27" t="s">
        <v>135</v>
      </c>
      <c r="N1" s="27" t="s">
        <v>126</v>
      </c>
      <c r="O1" s="21" t="s">
        <v>137</v>
      </c>
    </row>
    <row r="2" spans="1:17" ht="15" thickBot="1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7">
        <v>43101</v>
      </c>
      <c r="G2" s="12">
        <f>SUM(C2:E2)</f>
        <v>185</v>
      </c>
      <c r="H2" s="33">
        <f>ROUND(AVERAGE(C2:E2),2)</f>
        <v>61.67</v>
      </c>
      <c r="I2" s="9" t="str">
        <f>IF(H2&gt;=90,"A+",IF(H2&gt;=80,"A",IF(H2&gt;=70,"B",IF(H2&gt;=60,"C","F"))))</f>
        <v>C</v>
      </c>
      <c r="J2" s="28" t="str">
        <f>IF(AND(C2&gt;80, D2&gt;80), "Yes", "No")</f>
        <v>No</v>
      </c>
      <c r="K2" s="9" t="str">
        <f>LEFT(B2,FIND(" ",B2)-1)</f>
        <v>Student</v>
      </c>
      <c r="L2" s="9" t="str">
        <f>UPPER(B2)</f>
        <v>STUDENT 1</v>
      </c>
      <c r="M2" s="10">
        <f>COUNTIFS(C2:C21,"&gt;50")</f>
        <v>19</v>
      </c>
      <c r="N2" s="10">
        <f>COUNTIF(H2:H21,"&gt;60")</f>
        <v>16</v>
      </c>
      <c r="O2" s="33">
        <f>ROUND(AVERAGEIF(H2:H21,"&gt;60"),2)</f>
        <v>73.63</v>
      </c>
    </row>
    <row r="3" spans="1:17" ht="15" thickBot="1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7">
        <v>43281</v>
      </c>
      <c r="G3" s="12">
        <f t="shared" ref="G3:G21" si="0">SUM(C3:E3)</f>
        <v>224</v>
      </c>
      <c r="H3" s="33">
        <f t="shared" ref="H3:H21" si="1">ROUND(AVERAGE(C3:E3),2)</f>
        <v>74.67</v>
      </c>
      <c r="I3" s="9" t="str">
        <f t="shared" ref="I3:I21" si="2">IF(H3&gt;=90,"A+",IF(H3&gt;=80,"A",IF(H3&gt;=70,"B",IF(H3&gt;=60,"C","F"))))</f>
        <v>B</v>
      </c>
      <c r="J3" s="28" t="str">
        <f t="shared" ref="J3:J21" si="3">IF(AND(C3&gt;80, D3&gt;80), "Yes", "No")</f>
        <v>No</v>
      </c>
      <c r="K3" s="9" t="str">
        <f t="shared" ref="K3:K21" si="4">LEFT(B3,FIND(" ",B3)-1)</f>
        <v>Student</v>
      </c>
      <c r="L3" s="9" t="str">
        <f t="shared" ref="L3:L21" si="5">UPPER(B3)</f>
        <v>STUDENT 2</v>
      </c>
      <c r="M3" s="11"/>
      <c r="N3" s="11"/>
      <c r="O3" s="11"/>
    </row>
    <row r="4" spans="1:17" ht="15" thickBot="1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7">
        <v>43461</v>
      </c>
      <c r="G4" s="12">
        <f t="shared" si="0"/>
        <v>208</v>
      </c>
      <c r="H4" s="33">
        <f t="shared" si="1"/>
        <v>69.33</v>
      </c>
      <c r="I4" s="9" t="str">
        <f t="shared" si="2"/>
        <v>C</v>
      </c>
      <c r="J4" s="28" t="str">
        <f t="shared" si="3"/>
        <v>No</v>
      </c>
      <c r="K4" s="9" t="str">
        <f t="shared" si="4"/>
        <v>Student</v>
      </c>
      <c r="L4" s="9" t="str">
        <f t="shared" si="5"/>
        <v>STUDENT 3</v>
      </c>
      <c r="M4" s="11"/>
      <c r="N4" s="11"/>
      <c r="O4" s="11"/>
    </row>
    <row r="5" spans="1:17" ht="15" thickBot="1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7">
        <v>43641</v>
      </c>
      <c r="G5" s="12">
        <f t="shared" si="0"/>
        <v>175</v>
      </c>
      <c r="H5" s="33">
        <f t="shared" si="1"/>
        <v>58.33</v>
      </c>
      <c r="I5" s="9" t="str">
        <f t="shared" si="2"/>
        <v>F</v>
      </c>
      <c r="J5" s="28" t="str">
        <f t="shared" si="3"/>
        <v>No</v>
      </c>
      <c r="K5" s="9" t="str">
        <f t="shared" si="4"/>
        <v>Student</v>
      </c>
      <c r="L5" s="9" t="str">
        <f t="shared" si="5"/>
        <v>STUDENT 4</v>
      </c>
      <c r="M5" s="11"/>
      <c r="N5" s="11"/>
      <c r="O5" s="11"/>
    </row>
    <row r="6" spans="1:17" ht="15" thickBot="1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7">
        <v>43821</v>
      </c>
      <c r="G6" s="12">
        <f t="shared" si="0"/>
        <v>226</v>
      </c>
      <c r="H6" s="33">
        <f t="shared" si="1"/>
        <v>75.33</v>
      </c>
      <c r="I6" s="9" t="str">
        <f t="shared" si="2"/>
        <v>B</v>
      </c>
      <c r="J6" s="28" t="str">
        <f t="shared" si="3"/>
        <v>No</v>
      </c>
      <c r="K6" s="9" t="str">
        <f t="shared" si="4"/>
        <v>Student</v>
      </c>
      <c r="L6" s="9" t="str">
        <f t="shared" si="5"/>
        <v>STUDENT 5</v>
      </c>
      <c r="M6" s="11"/>
      <c r="N6" s="11"/>
      <c r="O6" s="11"/>
    </row>
    <row r="7" spans="1:17" ht="15" thickBot="1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7">
        <v>44001</v>
      </c>
      <c r="G7" s="12">
        <f t="shared" si="0"/>
        <v>215</v>
      </c>
      <c r="H7" s="33">
        <f t="shared" si="1"/>
        <v>71.67</v>
      </c>
      <c r="I7" s="9" t="str">
        <f t="shared" si="2"/>
        <v>B</v>
      </c>
      <c r="J7" s="28" t="str">
        <f t="shared" si="3"/>
        <v>No</v>
      </c>
      <c r="K7" s="9" t="str">
        <f t="shared" si="4"/>
        <v>Student</v>
      </c>
      <c r="L7" s="9" t="str">
        <f t="shared" si="5"/>
        <v>STUDENT 6</v>
      </c>
      <c r="M7" s="11"/>
      <c r="N7" s="11"/>
      <c r="O7" s="11"/>
    </row>
    <row r="8" spans="1:17" ht="15" thickBot="1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7">
        <v>44181</v>
      </c>
      <c r="G8" s="12">
        <f t="shared" si="0"/>
        <v>200</v>
      </c>
      <c r="H8" s="33">
        <f t="shared" si="1"/>
        <v>66.67</v>
      </c>
      <c r="I8" s="9" t="str">
        <f t="shared" si="2"/>
        <v>C</v>
      </c>
      <c r="J8" s="28" t="str">
        <f t="shared" si="3"/>
        <v>No</v>
      </c>
      <c r="K8" s="9" t="str">
        <f t="shared" si="4"/>
        <v>Student</v>
      </c>
      <c r="L8" s="9" t="str">
        <f t="shared" si="5"/>
        <v>STUDENT 7</v>
      </c>
      <c r="M8" s="11"/>
      <c r="N8" s="11"/>
      <c r="O8" s="11"/>
      <c r="P8" s="11"/>
      <c r="Q8" s="11"/>
    </row>
    <row r="9" spans="1:17" ht="15" thickBot="1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7">
        <v>44361</v>
      </c>
      <c r="G9" s="12">
        <f t="shared" si="0"/>
        <v>225</v>
      </c>
      <c r="H9" s="33">
        <f t="shared" si="1"/>
        <v>75</v>
      </c>
      <c r="I9" s="9" t="str">
        <f t="shared" si="2"/>
        <v>B</v>
      </c>
      <c r="J9" s="28" t="str">
        <f t="shared" si="3"/>
        <v>No</v>
      </c>
      <c r="K9" s="9" t="str">
        <f t="shared" si="4"/>
        <v>Student</v>
      </c>
      <c r="L9" s="9" t="str">
        <f t="shared" si="5"/>
        <v>STUDENT 8</v>
      </c>
      <c r="M9" s="11"/>
      <c r="N9" s="11"/>
      <c r="O9" s="11"/>
      <c r="P9" s="11"/>
      <c r="Q9" s="11"/>
    </row>
    <row r="10" spans="1:17" ht="15" thickBot="1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7">
        <v>44541</v>
      </c>
      <c r="G10" s="12">
        <f t="shared" si="0"/>
        <v>172</v>
      </c>
      <c r="H10" s="33">
        <f t="shared" si="1"/>
        <v>57.33</v>
      </c>
      <c r="I10" s="9" t="str">
        <f t="shared" si="2"/>
        <v>F</v>
      </c>
      <c r="J10" s="28" t="str">
        <f t="shared" si="3"/>
        <v>No</v>
      </c>
      <c r="K10" s="9" t="str">
        <f t="shared" si="4"/>
        <v>Student</v>
      </c>
      <c r="L10" s="9" t="str">
        <f t="shared" si="5"/>
        <v>STUDENT 9</v>
      </c>
      <c r="M10" s="11"/>
      <c r="N10" s="11"/>
      <c r="O10" s="11"/>
      <c r="P10" s="11"/>
      <c r="Q10" s="11"/>
    </row>
    <row r="11" spans="1:17" ht="15" thickBot="1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7">
        <v>44721</v>
      </c>
      <c r="G11" s="12">
        <f t="shared" si="0"/>
        <v>210</v>
      </c>
      <c r="H11" s="33">
        <f t="shared" si="1"/>
        <v>70</v>
      </c>
      <c r="I11" s="9" t="str">
        <f t="shared" si="2"/>
        <v>B</v>
      </c>
      <c r="J11" s="28" t="str">
        <f t="shared" si="3"/>
        <v>No</v>
      </c>
      <c r="K11" s="9" t="str">
        <f t="shared" si="4"/>
        <v>Student</v>
      </c>
      <c r="L11" s="9" t="str">
        <f t="shared" si="5"/>
        <v>STUDENT 10</v>
      </c>
      <c r="M11" s="11"/>
      <c r="N11" s="11"/>
      <c r="O11" s="11"/>
      <c r="P11" s="11"/>
      <c r="Q11" s="11"/>
    </row>
    <row r="12" spans="1:17" ht="15" thickBot="1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7">
        <v>44901</v>
      </c>
      <c r="G12" s="12">
        <f t="shared" si="0"/>
        <v>205</v>
      </c>
      <c r="H12" s="33">
        <f t="shared" si="1"/>
        <v>68.33</v>
      </c>
      <c r="I12" s="9" t="str">
        <f t="shared" si="2"/>
        <v>C</v>
      </c>
      <c r="J12" s="28" t="str">
        <f t="shared" si="3"/>
        <v>No</v>
      </c>
      <c r="K12" s="9" t="str">
        <f t="shared" si="4"/>
        <v>Student</v>
      </c>
      <c r="L12" s="9" t="str">
        <f t="shared" si="5"/>
        <v>STUDENT 11</v>
      </c>
      <c r="M12" s="11"/>
      <c r="N12" s="11"/>
      <c r="O12" s="11"/>
      <c r="P12" s="11"/>
      <c r="Q12" s="11"/>
    </row>
    <row r="13" spans="1:17" ht="15" thickBot="1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7">
        <v>45081</v>
      </c>
      <c r="G13" s="12">
        <f t="shared" si="0"/>
        <v>253</v>
      </c>
      <c r="H13" s="33">
        <f t="shared" si="1"/>
        <v>84.33</v>
      </c>
      <c r="I13" s="9" t="str">
        <f t="shared" si="2"/>
        <v>A</v>
      </c>
      <c r="J13" s="28" t="str">
        <f t="shared" si="3"/>
        <v>Yes</v>
      </c>
      <c r="K13" s="9" t="str">
        <f t="shared" si="4"/>
        <v>Student</v>
      </c>
      <c r="L13" s="9" t="str">
        <f t="shared" si="5"/>
        <v>STUDENT 12</v>
      </c>
      <c r="M13" s="11"/>
      <c r="N13" s="11"/>
      <c r="O13" s="11"/>
      <c r="P13" s="11"/>
      <c r="Q13" s="11"/>
    </row>
    <row r="14" spans="1:17" ht="15" thickBot="1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7">
        <v>45261</v>
      </c>
      <c r="G14" s="12">
        <f t="shared" si="0"/>
        <v>285</v>
      </c>
      <c r="H14" s="33">
        <f t="shared" si="1"/>
        <v>95</v>
      </c>
      <c r="I14" s="9" t="str">
        <f t="shared" si="2"/>
        <v>A+</v>
      </c>
      <c r="J14" s="28" t="str">
        <f t="shared" si="3"/>
        <v>Yes</v>
      </c>
      <c r="K14" s="9" t="str">
        <f t="shared" si="4"/>
        <v>Student</v>
      </c>
      <c r="L14" s="9" t="str">
        <f t="shared" si="5"/>
        <v>STUDENT 13</v>
      </c>
      <c r="M14" s="11"/>
      <c r="N14" s="11"/>
      <c r="O14" s="11"/>
      <c r="P14" s="11"/>
      <c r="Q14" s="11"/>
    </row>
    <row r="15" spans="1:17" ht="15" thickBot="1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7">
        <v>45441</v>
      </c>
      <c r="G15" s="12">
        <f t="shared" si="0"/>
        <v>177</v>
      </c>
      <c r="H15" s="33">
        <f t="shared" si="1"/>
        <v>59</v>
      </c>
      <c r="I15" s="9" t="str">
        <f t="shared" si="2"/>
        <v>F</v>
      </c>
      <c r="J15" s="28" t="str">
        <f t="shared" si="3"/>
        <v>No</v>
      </c>
      <c r="K15" s="9" t="str">
        <f t="shared" si="4"/>
        <v>Student</v>
      </c>
      <c r="L15" s="9" t="str">
        <f t="shared" si="5"/>
        <v>STUDENT 14</v>
      </c>
      <c r="M15" s="11"/>
      <c r="N15" s="11"/>
      <c r="O15" s="11"/>
      <c r="P15" s="11"/>
      <c r="Q15" s="11"/>
    </row>
    <row r="16" spans="1:17" ht="15" thickBot="1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7">
        <v>45621</v>
      </c>
      <c r="G16" s="12">
        <f t="shared" si="0"/>
        <v>196</v>
      </c>
      <c r="H16" s="33">
        <f t="shared" si="1"/>
        <v>65.33</v>
      </c>
      <c r="I16" s="9" t="str">
        <f t="shared" si="2"/>
        <v>C</v>
      </c>
      <c r="J16" s="28" t="str">
        <f t="shared" si="3"/>
        <v>No</v>
      </c>
      <c r="K16" s="9" t="str">
        <f t="shared" si="4"/>
        <v>Student</v>
      </c>
      <c r="L16" s="9" t="str">
        <f t="shared" si="5"/>
        <v>STUDENT 15</v>
      </c>
      <c r="M16" s="11"/>
      <c r="N16" s="11"/>
      <c r="O16" s="11"/>
      <c r="P16" s="11"/>
      <c r="Q16" s="11"/>
    </row>
    <row r="17" spans="1:17" ht="15" thickBot="1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7">
        <v>45801</v>
      </c>
      <c r="G17" s="12">
        <f t="shared" si="0"/>
        <v>235</v>
      </c>
      <c r="H17" s="33">
        <f t="shared" si="1"/>
        <v>78.33</v>
      </c>
      <c r="I17" s="9" t="str">
        <f t="shared" si="2"/>
        <v>B</v>
      </c>
      <c r="J17" s="28" t="str">
        <f t="shared" si="3"/>
        <v>No</v>
      </c>
      <c r="K17" s="9" t="str">
        <f t="shared" si="4"/>
        <v>Student</v>
      </c>
      <c r="L17" s="9" t="str">
        <f t="shared" si="5"/>
        <v>STUDENT 16</v>
      </c>
      <c r="M17" s="11"/>
      <c r="N17" s="11"/>
      <c r="O17" s="11"/>
      <c r="P17" s="11"/>
      <c r="Q17" s="11"/>
    </row>
    <row r="18" spans="1:17" ht="15" thickBot="1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7">
        <v>45981</v>
      </c>
      <c r="G18" s="12">
        <f t="shared" si="0"/>
        <v>165</v>
      </c>
      <c r="H18" s="33">
        <f t="shared" si="1"/>
        <v>55</v>
      </c>
      <c r="I18" s="9" t="str">
        <f t="shared" si="2"/>
        <v>F</v>
      </c>
      <c r="J18" s="28" t="str">
        <f t="shared" si="3"/>
        <v>No</v>
      </c>
      <c r="K18" s="9" t="str">
        <f t="shared" si="4"/>
        <v>Student</v>
      </c>
      <c r="L18" s="9" t="str">
        <f t="shared" si="5"/>
        <v>STUDENT 17</v>
      </c>
      <c r="M18" s="11"/>
      <c r="N18" s="11"/>
      <c r="O18" s="11"/>
      <c r="P18" s="11"/>
      <c r="Q18" s="11"/>
    </row>
    <row r="19" spans="1:17" ht="15" thickBot="1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7">
        <v>46161</v>
      </c>
      <c r="G19" s="12">
        <f t="shared" si="0"/>
        <v>209</v>
      </c>
      <c r="H19" s="33">
        <f t="shared" si="1"/>
        <v>69.67</v>
      </c>
      <c r="I19" s="9" t="str">
        <f t="shared" si="2"/>
        <v>C</v>
      </c>
      <c r="J19" s="28" t="str">
        <f t="shared" si="3"/>
        <v>No</v>
      </c>
      <c r="K19" s="9" t="str">
        <f t="shared" si="4"/>
        <v>Student</v>
      </c>
      <c r="L19" s="9" t="str">
        <f t="shared" si="5"/>
        <v>STUDENT 18</v>
      </c>
      <c r="M19" s="11"/>
      <c r="N19" s="11"/>
      <c r="O19" s="11"/>
      <c r="P19" s="11"/>
      <c r="Q19" s="11"/>
    </row>
    <row r="20" spans="1:17" ht="15" thickBot="1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7">
        <v>46341</v>
      </c>
      <c r="G20" s="12">
        <f t="shared" si="0"/>
        <v>228</v>
      </c>
      <c r="H20" s="33">
        <f t="shared" si="1"/>
        <v>76</v>
      </c>
      <c r="I20" s="9" t="str">
        <f t="shared" si="2"/>
        <v>B</v>
      </c>
      <c r="J20" s="28" t="str">
        <f t="shared" si="3"/>
        <v>No</v>
      </c>
      <c r="K20" s="9" t="str">
        <f t="shared" si="4"/>
        <v>Student</v>
      </c>
      <c r="L20" s="9" t="str">
        <f t="shared" si="5"/>
        <v>STUDENT 19</v>
      </c>
      <c r="M20" s="11"/>
      <c r="N20" s="11"/>
      <c r="O20" s="11"/>
      <c r="P20" s="11"/>
      <c r="Q20" s="11"/>
    </row>
    <row r="21" spans="1:17" ht="15" thickBot="1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7">
        <v>46521</v>
      </c>
      <c r="G21" s="12">
        <f t="shared" si="0"/>
        <v>230</v>
      </c>
      <c r="H21" s="33">
        <f t="shared" si="1"/>
        <v>76.67</v>
      </c>
      <c r="I21" s="9" t="str">
        <f t="shared" si="2"/>
        <v>B</v>
      </c>
      <c r="J21" s="28" t="str">
        <f t="shared" si="3"/>
        <v>Yes</v>
      </c>
      <c r="K21" s="9" t="str">
        <f t="shared" si="4"/>
        <v>Student</v>
      </c>
      <c r="L21" s="9" t="str">
        <f t="shared" si="5"/>
        <v>STUDENT 20</v>
      </c>
      <c r="M21" s="11"/>
      <c r="N21" s="11"/>
      <c r="O21" s="11"/>
      <c r="P21" s="11"/>
      <c r="Q21" s="11"/>
    </row>
    <row r="22" spans="1:17">
      <c r="E22" s="40"/>
      <c r="F22" s="41"/>
    </row>
    <row r="23" spans="1:17" ht="15" thickBot="1"/>
    <row r="24" spans="1:17" ht="15" thickBot="1">
      <c r="A24" s="21" t="s">
        <v>127</v>
      </c>
      <c r="B24" s="24" t="s">
        <v>121</v>
      </c>
      <c r="E24" s="50" t="s">
        <v>148</v>
      </c>
      <c r="F24" s="50"/>
    </row>
    <row r="25" spans="1:17" ht="15" thickBot="1">
      <c r="A25" s="9" t="s">
        <v>128</v>
      </c>
      <c r="B25" s="9">
        <f>COUNTA(B2:B21)</f>
        <v>20</v>
      </c>
      <c r="E25" s="37" t="s">
        <v>138</v>
      </c>
      <c r="F25" s="37" t="s">
        <v>121</v>
      </c>
    </row>
    <row r="26" spans="1:17" ht="15" thickBot="1">
      <c r="A26" s="9" t="s">
        <v>93</v>
      </c>
      <c r="B26" s="9">
        <f>ROUND(AVERAGE(H2:H21), 2)</f>
        <v>70.38</v>
      </c>
      <c r="E26" s="38">
        <v>1003</v>
      </c>
      <c r="F26" s="38" t="str">
        <f>VLOOKUP(E26,A3:B22,2,FALSE)</f>
        <v>Student 3</v>
      </c>
    </row>
    <row r="27" spans="1:17">
      <c r="A27" s="11"/>
      <c r="B27" s="11"/>
    </row>
    <row r="28" spans="1:17" ht="15" thickBot="1">
      <c r="A28" s="11"/>
      <c r="B28" s="11"/>
    </row>
    <row r="29" spans="1:17" ht="15" thickBot="1">
      <c r="A29" s="21" t="s">
        <v>129</v>
      </c>
      <c r="B29" s="21" t="s">
        <v>94</v>
      </c>
      <c r="E29" s="47" t="s">
        <v>150</v>
      </c>
      <c r="F29" s="47"/>
    </row>
    <row r="30" spans="1:17" ht="15" thickBot="1">
      <c r="A30" s="9" t="s">
        <v>2</v>
      </c>
      <c r="B30" s="9">
        <f>MAX(C2:C21)</f>
        <v>98</v>
      </c>
      <c r="E30" s="15" t="s">
        <v>151</v>
      </c>
      <c r="F30" s="9" t="s">
        <v>152</v>
      </c>
    </row>
    <row r="31" spans="1:17" ht="15" thickBot="1">
      <c r="A31" s="9" t="s">
        <v>3</v>
      </c>
      <c r="B31" s="9">
        <f>MAX(D2:D21)</f>
        <v>92</v>
      </c>
      <c r="E31" s="15">
        <v>38650</v>
      </c>
      <c r="F31" s="9">
        <f ca="1">DATEDIF(E31,TODAY(),"Y")</f>
        <v>20</v>
      </c>
    </row>
    <row r="32" spans="1:17" ht="15" thickBot="1">
      <c r="A32" s="9" t="s">
        <v>4</v>
      </c>
      <c r="B32" s="14">
        <f>MAX(E2:E21)</f>
        <v>97</v>
      </c>
    </row>
    <row r="33" spans="1:7" ht="15" thickBot="1"/>
    <row r="34" spans="1:7" ht="16.2" thickBot="1">
      <c r="A34" s="48" t="s">
        <v>130</v>
      </c>
      <c r="B34" s="49"/>
      <c r="E34" s="47" t="s">
        <v>153</v>
      </c>
      <c r="F34" s="47"/>
      <c r="G34" s="47"/>
    </row>
    <row r="35" spans="1:7" ht="15" thickBot="1">
      <c r="A35" s="37" t="s">
        <v>90</v>
      </c>
      <c r="B35" s="37" t="s">
        <v>131</v>
      </c>
      <c r="E35" s="12" t="s">
        <v>154</v>
      </c>
      <c r="F35" s="9" t="s">
        <v>155</v>
      </c>
      <c r="G35" s="9" t="s">
        <v>156</v>
      </c>
    </row>
    <row r="36" spans="1:7" ht="15" thickBot="1">
      <c r="A36" s="38" t="s">
        <v>95</v>
      </c>
      <c r="B36" s="38">
        <f>COUNTIF(I2:I21, "A+")</f>
        <v>1</v>
      </c>
      <c r="E36" s="15">
        <v>45658</v>
      </c>
      <c r="F36" s="15">
        <v>45807</v>
      </c>
      <c r="G36" s="9">
        <f>DATEDIF(E36,F36,"D")</f>
        <v>149</v>
      </c>
    </row>
    <row r="37" spans="1:7" ht="15" thickBot="1">
      <c r="A37" s="38" t="s">
        <v>136</v>
      </c>
      <c r="B37" s="38">
        <f>COUNTIF(I2:I21, "A")</f>
        <v>1</v>
      </c>
    </row>
    <row r="38" spans="1:7" ht="15" thickBot="1">
      <c r="A38" s="38" t="s">
        <v>96</v>
      </c>
      <c r="B38" s="38">
        <f>COUNTIF(I2:I21, "B")</f>
        <v>8</v>
      </c>
    </row>
    <row r="39" spans="1:7" ht="15" thickBot="1">
      <c r="A39" s="38" t="s">
        <v>97</v>
      </c>
      <c r="B39" s="38">
        <f>COUNTIF(I2:I24, "C")</f>
        <v>6</v>
      </c>
      <c r="E39" s="46" t="s">
        <v>145</v>
      </c>
      <c r="F39" s="46"/>
    </row>
    <row r="40" spans="1:7" ht="15" thickBot="1">
      <c r="A40" s="38" t="s">
        <v>98</v>
      </c>
      <c r="B40" s="38">
        <f>COUNTIF(I2:I21, "F")</f>
        <v>4</v>
      </c>
      <c r="E40" s="6" t="s">
        <v>149</v>
      </c>
      <c r="F40" s="6" cm="1">
        <f t="array" aca="1" ref="F40" ca="1">INDIRECT(E40)</f>
        <v>1014</v>
      </c>
    </row>
    <row r="42" spans="1:7" ht="15" thickBot="1"/>
    <row r="43" spans="1:7" ht="15" thickBot="1">
      <c r="A43" s="56" t="s">
        <v>147</v>
      </c>
      <c r="B43" s="57"/>
      <c r="C43" s="57"/>
      <c r="D43" s="57"/>
      <c r="E43" s="57"/>
      <c r="F43" s="58"/>
    </row>
    <row r="44" spans="1:7" ht="15" thickBot="1">
      <c r="A44" s="9" cm="1">
        <f t="array" ref="A44:F49">_xlfn._xlws.FILTER(A2:F21,H2:H21&gt;75,"Not Found")</f>
        <v>1005</v>
      </c>
      <c r="B44" s="9" t="str">
        <v>Student 5</v>
      </c>
      <c r="C44" s="9">
        <v>68</v>
      </c>
      <c r="D44" s="9">
        <v>74</v>
      </c>
      <c r="E44" s="9">
        <v>84</v>
      </c>
      <c r="F44" s="15">
        <v>43821</v>
      </c>
    </row>
    <row r="45" spans="1:7" ht="15" thickBot="1">
      <c r="A45" s="9">
        <v>1012</v>
      </c>
      <c r="B45" s="9" t="str">
        <v>Student 12</v>
      </c>
      <c r="C45" s="9">
        <v>85</v>
      </c>
      <c r="D45" s="9">
        <v>89</v>
      </c>
      <c r="E45" s="9">
        <v>79</v>
      </c>
      <c r="F45" s="15">
        <v>45081</v>
      </c>
    </row>
    <row r="46" spans="1:7" ht="15" thickBot="1">
      <c r="A46" s="9">
        <v>1013</v>
      </c>
      <c r="B46" s="9" t="str">
        <v>Student 13</v>
      </c>
      <c r="C46" s="9">
        <v>98</v>
      </c>
      <c r="D46" s="9">
        <v>90</v>
      </c>
      <c r="E46" s="9">
        <v>97</v>
      </c>
      <c r="F46" s="15">
        <v>45261</v>
      </c>
    </row>
    <row r="47" spans="1:7" ht="15" thickBot="1">
      <c r="A47" s="9">
        <v>1016</v>
      </c>
      <c r="B47" s="9" t="str">
        <v>Student 16</v>
      </c>
      <c r="C47" s="9">
        <v>98</v>
      </c>
      <c r="D47" s="9">
        <v>77</v>
      </c>
      <c r="E47" s="9">
        <v>60</v>
      </c>
      <c r="F47" s="15">
        <v>45801</v>
      </c>
    </row>
    <row r="48" spans="1:7" ht="15" thickBot="1">
      <c r="A48" s="9">
        <v>1019</v>
      </c>
      <c r="B48" s="9" t="str">
        <v>Student 19</v>
      </c>
      <c r="C48" s="9">
        <v>90</v>
      </c>
      <c r="D48" s="9">
        <v>78</v>
      </c>
      <c r="E48" s="9">
        <v>60</v>
      </c>
      <c r="F48" s="15">
        <v>46341</v>
      </c>
    </row>
    <row r="49" spans="1:6" ht="15" thickBot="1">
      <c r="A49" s="9">
        <v>1020</v>
      </c>
      <c r="B49" s="9" t="str">
        <v>Student 20</v>
      </c>
      <c r="C49" s="9">
        <v>83</v>
      </c>
      <c r="D49" s="9">
        <v>92</v>
      </c>
      <c r="E49" s="9">
        <v>55</v>
      </c>
      <c r="F49" s="15">
        <v>46521</v>
      </c>
    </row>
  </sheetData>
  <mergeCells count="6">
    <mergeCell ref="A43:F43"/>
    <mergeCell ref="E39:F39"/>
    <mergeCell ref="E34:G34"/>
    <mergeCell ref="A34:B34"/>
    <mergeCell ref="E29:F29"/>
    <mergeCell ref="E24:F24"/>
  </mergeCells>
  <pageMargins left="0.7" right="0.7" top="0.75" bottom="0.75" header="0.3" footer="0.3"/>
  <ignoredErrors>
    <ignoredError sqref="H2 G3:G21 H3:H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5582-E4EF-4ACF-9CE7-F539A78CBAD6}">
  <dimension ref="A1:K34"/>
  <sheetViews>
    <sheetView topLeftCell="A10" zoomScale="90" zoomScaleNormal="90" workbookViewId="0">
      <selection activeCell="S29" sqref="S29"/>
    </sheetView>
  </sheetViews>
  <sheetFormatPr defaultRowHeight="14.4"/>
  <cols>
    <col min="1" max="1" width="26.88671875" style="11" bestFit="1" customWidth="1"/>
    <col min="2" max="2" width="12.33203125" style="11" customWidth="1"/>
    <col min="3" max="3" width="11.88671875" style="11" bestFit="1" customWidth="1"/>
    <col min="4" max="4" width="13.33203125" style="11" customWidth="1"/>
    <col min="5" max="5" width="11.44140625" style="11" bestFit="1" customWidth="1"/>
    <col min="6" max="6" width="18.33203125" style="11" customWidth="1"/>
    <col min="7" max="7" width="26.6640625" style="11" customWidth="1"/>
    <col min="8" max="8" width="21.88671875" style="11" customWidth="1"/>
    <col min="9" max="9" width="14.77734375" style="11" bestFit="1" customWidth="1"/>
    <col min="10" max="10" width="13.33203125" style="11" bestFit="1" customWidth="1"/>
    <col min="11" max="11" width="16" style="11" bestFit="1" customWidth="1"/>
    <col min="12" max="16384" width="8.88671875" style="11"/>
  </cols>
  <sheetData>
    <row r="1" spans="1:11" ht="15" thickBot="1">
      <c r="A1" s="1" t="s">
        <v>54</v>
      </c>
      <c r="B1" s="2" t="s">
        <v>55</v>
      </c>
      <c r="C1" s="2" t="s">
        <v>56</v>
      </c>
      <c r="D1" s="2" t="s">
        <v>57</v>
      </c>
      <c r="E1" s="29" t="s">
        <v>58</v>
      </c>
      <c r="F1" s="1" t="s">
        <v>59</v>
      </c>
      <c r="G1" s="21" t="s">
        <v>122</v>
      </c>
      <c r="H1" s="24" t="s">
        <v>99</v>
      </c>
      <c r="I1" s="24" t="s">
        <v>100</v>
      </c>
      <c r="J1" s="24" t="s">
        <v>101</v>
      </c>
      <c r="K1" s="26" t="s">
        <v>123</v>
      </c>
    </row>
    <row r="2" spans="1:11" ht="15" thickBot="1">
      <c r="A2" s="3">
        <v>2001</v>
      </c>
      <c r="B2" s="4" t="s">
        <v>60</v>
      </c>
      <c r="C2" s="4" t="s">
        <v>61</v>
      </c>
      <c r="D2" s="4" t="s">
        <v>62</v>
      </c>
      <c r="E2" s="30">
        <v>7048</v>
      </c>
      <c r="F2" s="8">
        <v>44927</v>
      </c>
      <c r="G2" s="9" t="str">
        <f>IF(E2&gt;30000, "10% Discount", IF(E2&gt;15000, "5% Discount", "No Discount"))</f>
        <v>No Discount</v>
      </c>
      <c r="H2" s="9" t="str">
        <f>IF(OR(C2="South",E2&gt;30000),"Eligible","Not Eligible")</f>
        <v>Eligible</v>
      </c>
      <c r="I2" s="9">
        <f>CEILING(E2,100)</f>
        <v>7100</v>
      </c>
      <c r="J2" s="9">
        <f>FLOOR(E2,100)</f>
        <v>7000</v>
      </c>
      <c r="K2" s="9" t="s">
        <v>139</v>
      </c>
    </row>
    <row r="3" spans="1:11" ht="15" thickBot="1">
      <c r="A3" s="3">
        <v>2002</v>
      </c>
      <c r="B3" s="4" t="s">
        <v>63</v>
      </c>
      <c r="C3" s="4" t="s">
        <v>64</v>
      </c>
      <c r="D3" s="4" t="s">
        <v>65</v>
      </c>
      <c r="E3" s="30">
        <v>17428</v>
      </c>
      <c r="F3" s="8">
        <v>44942</v>
      </c>
      <c r="G3" s="9" t="str">
        <f t="shared" ref="G3:G21" si="0">IF(E3&gt;30000, "10% Discount", IF(E3&gt;15000, "5% Discount", "No Discount"))</f>
        <v>5% Discount</v>
      </c>
      <c r="H3" s="9" t="str">
        <f t="shared" ref="H3:H21" si="1">IF(OR(C3="South",E3&gt;30000),"Eligible","Not Eligible")</f>
        <v>Not Eligible</v>
      </c>
      <c r="I3" s="9">
        <f t="shared" ref="I3:I21" si="2">CEILING(E3,100)</f>
        <v>17500</v>
      </c>
      <c r="J3" s="9">
        <f t="shared" ref="J3:J21" si="3">FLOOR(E3,100)</f>
        <v>17400</v>
      </c>
      <c r="K3" s="9" t="str" cm="1">
        <f t="array" aca="1" ref="K3" ca="1">INDIRECT(K2)</f>
        <v>Keyboard</v>
      </c>
    </row>
    <row r="4" spans="1:11" ht="15" thickBot="1">
      <c r="A4" s="3">
        <v>2003</v>
      </c>
      <c r="B4" s="4" t="s">
        <v>66</v>
      </c>
      <c r="C4" s="4" t="s">
        <v>61</v>
      </c>
      <c r="D4" s="4" t="s">
        <v>67</v>
      </c>
      <c r="E4" s="30">
        <v>23672</v>
      </c>
      <c r="F4" s="8">
        <v>44957</v>
      </c>
      <c r="G4" s="9" t="str">
        <f t="shared" si="0"/>
        <v>5% Discount</v>
      </c>
      <c r="H4" s="9" t="str">
        <f t="shared" si="1"/>
        <v>Eligible</v>
      </c>
      <c r="I4" s="9">
        <f t="shared" si="2"/>
        <v>23700</v>
      </c>
      <c r="J4" s="9">
        <f t="shared" si="3"/>
        <v>23600</v>
      </c>
    </row>
    <row r="5" spans="1:11" ht="15" thickBot="1">
      <c r="A5" s="3">
        <v>2004</v>
      </c>
      <c r="B5" s="4" t="s">
        <v>63</v>
      </c>
      <c r="C5" s="4" t="s">
        <v>68</v>
      </c>
      <c r="D5" s="4" t="s">
        <v>69</v>
      </c>
      <c r="E5" s="30">
        <v>5264</v>
      </c>
      <c r="F5" s="8">
        <v>44972</v>
      </c>
      <c r="G5" s="9" t="str">
        <f t="shared" si="0"/>
        <v>No Discount</v>
      </c>
      <c r="H5" s="9" t="str">
        <f t="shared" si="1"/>
        <v>Not Eligible</v>
      </c>
      <c r="I5" s="9">
        <f t="shared" si="2"/>
        <v>5300</v>
      </c>
      <c r="J5" s="9">
        <f t="shared" si="3"/>
        <v>5200</v>
      </c>
    </row>
    <row r="6" spans="1:11" ht="15" thickBot="1">
      <c r="A6" s="3">
        <v>2005</v>
      </c>
      <c r="B6" s="4" t="s">
        <v>60</v>
      </c>
      <c r="C6" s="4" t="s">
        <v>70</v>
      </c>
      <c r="D6" s="4" t="s">
        <v>71</v>
      </c>
      <c r="E6" s="30">
        <v>43388</v>
      </c>
      <c r="F6" s="8">
        <v>44987</v>
      </c>
      <c r="G6" s="9" t="str">
        <f t="shared" si="0"/>
        <v>10% Discount</v>
      </c>
      <c r="H6" s="9" t="str">
        <f t="shared" si="1"/>
        <v>Eligible</v>
      </c>
      <c r="I6" s="9">
        <f t="shared" si="2"/>
        <v>43400</v>
      </c>
      <c r="J6" s="9">
        <f t="shared" si="3"/>
        <v>43300</v>
      </c>
    </row>
    <row r="7" spans="1:11" ht="15" thickBot="1">
      <c r="A7" s="3">
        <v>2006</v>
      </c>
      <c r="B7" s="4" t="s">
        <v>66</v>
      </c>
      <c r="C7" s="4" t="s">
        <v>70</v>
      </c>
      <c r="D7" s="4" t="s">
        <v>72</v>
      </c>
      <c r="E7" s="30">
        <v>19757</v>
      </c>
      <c r="F7" s="8">
        <v>45002</v>
      </c>
      <c r="G7" s="9" t="str">
        <f t="shared" si="0"/>
        <v>5% Discount</v>
      </c>
      <c r="H7" s="9" t="str">
        <f t="shared" si="1"/>
        <v>Not Eligible</v>
      </c>
      <c r="I7" s="9">
        <f t="shared" si="2"/>
        <v>19800</v>
      </c>
      <c r="J7" s="9">
        <f t="shared" si="3"/>
        <v>19700</v>
      </c>
    </row>
    <row r="8" spans="1:11" ht="15" thickBot="1">
      <c r="A8" s="3">
        <v>2007</v>
      </c>
      <c r="B8" s="4" t="s">
        <v>66</v>
      </c>
      <c r="C8" s="4" t="s">
        <v>68</v>
      </c>
      <c r="D8" s="4" t="s">
        <v>73</v>
      </c>
      <c r="E8" s="30">
        <v>32058</v>
      </c>
      <c r="F8" s="8">
        <v>45017</v>
      </c>
      <c r="G8" s="9" t="str">
        <f t="shared" si="0"/>
        <v>10% Discount</v>
      </c>
      <c r="H8" s="9" t="str">
        <f t="shared" si="1"/>
        <v>Eligible</v>
      </c>
      <c r="I8" s="9">
        <f t="shared" si="2"/>
        <v>32100</v>
      </c>
      <c r="J8" s="9">
        <f t="shared" si="3"/>
        <v>32000</v>
      </c>
    </row>
    <row r="9" spans="1:11" ht="15" thickBot="1">
      <c r="A9" s="3">
        <v>2008</v>
      </c>
      <c r="B9" s="4" t="s">
        <v>60</v>
      </c>
      <c r="C9" s="4" t="s">
        <v>68</v>
      </c>
      <c r="D9" s="4" t="s">
        <v>74</v>
      </c>
      <c r="E9" s="30">
        <v>46429</v>
      </c>
      <c r="F9" s="8">
        <v>45032</v>
      </c>
      <c r="G9" s="9" t="str">
        <f t="shared" si="0"/>
        <v>10% Discount</v>
      </c>
      <c r="H9" s="9" t="str">
        <f t="shared" si="1"/>
        <v>Eligible</v>
      </c>
      <c r="I9" s="9">
        <f t="shared" si="2"/>
        <v>46500</v>
      </c>
      <c r="J9" s="9">
        <f t="shared" si="3"/>
        <v>46400</v>
      </c>
    </row>
    <row r="10" spans="1:11" ht="15" thickBot="1">
      <c r="A10" s="3">
        <v>2009</v>
      </c>
      <c r="B10" s="4" t="s">
        <v>63</v>
      </c>
      <c r="C10" s="4" t="s">
        <v>68</v>
      </c>
      <c r="D10" s="4" t="s">
        <v>75</v>
      </c>
      <c r="E10" s="30">
        <v>19746</v>
      </c>
      <c r="F10" s="8">
        <v>45047</v>
      </c>
      <c r="G10" s="9" t="str">
        <f t="shared" si="0"/>
        <v>5% Discount</v>
      </c>
      <c r="H10" s="9" t="str">
        <f t="shared" si="1"/>
        <v>Not Eligible</v>
      </c>
      <c r="I10" s="9">
        <f t="shared" si="2"/>
        <v>19800</v>
      </c>
      <c r="J10" s="9">
        <f t="shared" si="3"/>
        <v>19700</v>
      </c>
    </row>
    <row r="11" spans="1:11" ht="15" thickBot="1">
      <c r="A11" s="3">
        <v>2010</v>
      </c>
      <c r="B11" s="4" t="s">
        <v>60</v>
      </c>
      <c r="C11" s="4" t="s">
        <v>61</v>
      </c>
      <c r="D11" s="4" t="s">
        <v>76</v>
      </c>
      <c r="E11" s="30">
        <v>35185</v>
      </c>
      <c r="F11" s="8">
        <v>45062</v>
      </c>
      <c r="G11" s="9" t="str">
        <f t="shared" si="0"/>
        <v>10% Discount</v>
      </c>
      <c r="H11" s="9" t="str">
        <f t="shared" si="1"/>
        <v>Eligible</v>
      </c>
      <c r="I11" s="9">
        <f t="shared" si="2"/>
        <v>35200</v>
      </c>
      <c r="J11" s="9">
        <f t="shared" si="3"/>
        <v>35100</v>
      </c>
    </row>
    <row r="12" spans="1:11" ht="15" thickBot="1">
      <c r="A12" s="3">
        <v>2011</v>
      </c>
      <c r="B12" s="4" t="s">
        <v>60</v>
      </c>
      <c r="C12" s="4" t="s">
        <v>68</v>
      </c>
      <c r="D12" s="4" t="s">
        <v>77</v>
      </c>
      <c r="E12" s="30">
        <v>33920</v>
      </c>
      <c r="F12" s="8">
        <v>45077</v>
      </c>
      <c r="G12" s="9" t="str">
        <f t="shared" si="0"/>
        <v>10% Discount</v>
      </c>
      <c r="H12" s="9" t="str">
        <f t="shared" si="1"/>
        <v>Eligible</v>
      </c>
      <c r="I12" s="9">
        <f t="shared" si="2"/>
        <v>34000</v>
      </c>
      <c r="J12" s="9">
        <f t="shared" si="3"/>
        <v>33900</v>
      </c>
    </row>
    <row r="13" spans="1:11" ht="15" thickBot="1">
      <c r="A13" s="3">
        <v>2012</v>
      </c>
      <c r="B13" s="4" t="s">
        <v>78</v>
      </c>
      <c r="C13" s="4" t="s">
        <v>70</v>
      </c>
      <c r="D13" s="4" t="s">
        <v>79</v>
      </c>
      <c r="E13" s="30">
        <v>35611</v>
      </c>
      <c r="F13" s="8">
        <v>45092</v>
      </c>
      <c r="G13" s="9" t="str">
        <f t="shared" si="0"/>
        <v>10% Discount</v>
      </c>
      <c r="H13" s="9" t="str">
        <f t="shared" si="1"/>
        <v>Eligible</v>
      </c>
      <c r="I13" s="9">
        <f t="shared" si="2"/>
        <v>35700</v>
      </c>
      <c r="J13" s="9">
        <f t="shared" si="3"/>
        <v>35600</v>
      </c>
    </row>
    <row r="14" spans="1:11" ht="15" thickBot="1">
      <c r="A14" s="3">
        <v>2013</v>
      </c>
      <c r="B14" s="4" t="s">
        <v>80</v>
      </c>
      <c r="C14" s="4" t="s">
        <v>68</v>
      </c>
      <c r="D14" s="4" t="s">
        <v>81</v>
      </c>
      <c r="E14" s="30">
        <v>15560</v>
      </c>
      <c r="F14" s="8">
        <v>45107</v>
      </c>
      <c r="G14" s="9" t="str">
        <f t="shared" si="0"/>
        <v>5% Discount</v>
      </c>
      <c r="H14" s="9" t="str">
        <f t="shared" si="1"/>
        <v>Not Eligible</v>
      </c>
      <c r="I14" s="9">
        <f t="shared" si="2"/>
        <v>15600</v>
      </c>
      <c r="J14" s="9">
        <f t="shared" si="3"/>
        <v>15500</v>
      </c>
    </row>
    <row r="15" spans="1:11" ht="15" thickBot="1">
      <c r="A15" s="3">
        <v>2014</v>
      </c>
      <c r="B15" s="4" t="s">
        <v>80</v>
      </c>
      <c r="C15" s="4" t="s">
        <v>61</v>
      </c>
      <c r="D15" s="4" t="s">
        <v>82</v>
      </c>
      <c r="E15" s="30">
        <v>7283</v>
      </c>
      <c r="F15" s="8">
        <v>45122</v>
      </c>
      <c r="G15" s="9" t="str">
        <f t="shared" si="0"/>
        <v>No Discount</v>
      </c>
      <c r="H15" s="9" t="str">
        <f t="shared" si="1"/>
        <v>Eligible</v>
      </c>
      <c r="I15" s="9">
        <f t="shared" si="2"/>
        <v>7300</v>
      </c>
      <c r="J15" s="9">
        <f t="shared" si="3"/>
        <v>7200</v>
      </c>
    </row>
    <row r="16" spans="1:11" ht="15" thickBot="1">
      <c r="A16" s="3">
        <v>2015</v>
      </c>
      <c r="B16" s="4" t="s">
        <v>80</v>
      </c>
      <c r="C16" s="4" t="s">
        <v>68</v>
      </c>
      <c r="D16" s="4" t="s">
        <v>83</v>
      </c>
      <c r="E16" s="30">
        <v>15678</v>
      </c>
      <c r="F16" s="8">
        <v>45137</v>
      </c>
      <c r="G16" s="9" t="str">
        <f t="shared" si="0"/>
        <v>5% Discount</v>
      </c>
      <c r="H16" s="9" t="str">
        <f t="shared" si="1"/>
        <v>Not Eligible</v>
      </c>
      <c r="I16" s="9">
        <f t="shared" si="2"/>
        <v>15700</v>
      </c>
      <c r="J16" s="9">
        <f t="shared" si="3"/>
        <v>15600</v>
      </c>
    </row>
    <row r="17" spans="1:11" ht="15" thickBot="1">
      <c r="A17" s="3">
        <v>2016</v>
      </c>
      <c r="B17" s="4" t="s">
        <v>66</v>
      </c>
      <c r="C17" s="4" t="s">
        <v>68</v>
      </c>
      <c r="D17" s="4" t="s">
        <v>84</v>
      </c>
      <c r="E17" s="30">
        <v>5277</v>
      </c>
      <c r="F17" s="8">
        <v>45152</v>
      </c>
      <c r="G17" s="9" t="str">
        <f t="shared" si="0"/>
        <v>No Discount</v>
      </c>
      <c r="H17" s="9" t="str">
        <f t="shared" si="1"/>
        <v>Not Eligible</v>
      </c>
      <c r="I17" s="9">
        <f t="shared" si="2"/>
        <v>5300</v>
      </c>
      <c r="J17" s="9">
        <f t="shared" si="3"/>
        <v>5200</v>
      </c>
    </row>
    <row r="18" spans="1:11" ht="15" thickBot="1">
      <c r="A18" s="3">
        <v>2017</v>
      </c>
      <c r="B18" s="4" t="s">
        <v>78</v>
      </c>
      <c r="C18" s="4" t="s">
        <v>70</v>
      </c>
      <c r="D18" s="4" t="s">
        <v>85</v>
      </c>
      <c r="E18" s="30">
        <v>41871</v>
      </c>
      <c r="F18" s="8">
        <v>45167</v>
      </c>
      <c r="G18" s="9" t="str">
        <f t="shared" si="0"/>
        <v>10% Discount</v>
      </c>
      <c r="H18" s="9" t="str">
        <f t="shared" si="1"/>
        <v>Eligible</v>
      </c>
      <c r="I18" s="9">
        <f t="shared" si="2"/>
        <v>41900</v>
      </c>
      <c r="J18" s="9">
        <f t="shared" si="3"/>
        <v>41800</v>
      </c>
    </row>
    <row r="19" spans="1:11" ht="15" thickBot="1">
      <c r="A19" s="3">
        <v>2018</v>
      </c>
      <c r="B19" s="4" t="s">
        <v>78</v>
      </c>
      <c r="C19" s="4" t="s">
        <v>64</v>
      </c>
      <c r="D19" s="4" t="s">
        <v>86</v>
      </c>
      <c r="E19" s="30">
        <v>38161</v>
      </c>
      <c r="F19" s="8">
        <v>45182</v>
      </c>
      <c r="G19" s="9" t="str">
        <f t="shared" si="0"/>
        <v>10% Discount</v>
      </c>
      <c r="H19" s="9" t="str">
        <f t="shared" si="1"/>
        <v>Eligible</v>
      </c>
      <c r="I19" s="9">
        <f t="shared" si="2"/>
        <v>38200</v>
      </c>
      <c r="J19" s="9">
        <f t="shared" si="3"/>
        <v>38100</v>
      </c>
    </row>
    <row r="20" spans="1:11" ht="15" thickBot="1">
      <c r="A20" s="3">
        <v>2019</v>
      </c>
      <c r="B20" s="4" t="s">
        <v>66</v>
      </c>
      <c r="C20" s="4" t="s">
        <v>64</v>
      </c>
      <c r="D20" s="4" t="s">
        <v>87</v>
      </c>
      <c r="E20" s="30">
        <v>30436</v>
      </c>
      <c r="F20" s="8">
        <v>45197</v>
      </c>
      <c r="G20" s="9" t="str">
        <f t="shared" si="0"/>
        <v>10% Discount</v>
      </c>
      <c r="H20" s="9" t="str">
        <f t="shared" si="1"/>
        <v>Eligible</v>
      </c>
      <c r="I20" s="9">
        <f t="shared" si="2"/>
        <v>30500</v>
      </c>
      <c r="J20" s="9">
        <f t="shared" si="3"/>
        <v>30400</v>
      </c>
    </row>
    <row r="21" spans="1:11" ht="15" thickBot="1">
      <c r="A21" s="3">
        <v>2020</v>
      </c>
      <c r="B21" s="4" t="s">
        <v>63</v>
      </c>
      <c r="C21" s="4" t="s">
        <v>64</v>
      </c>
      <c r="D21" s="4" t="s">
        <v>88</v>
      </c>
      <c r="E21" s="30">
        <v>33953</v>
      </c>
      <c r="F21" s="8">
        <v>45212</v>
      </c>
      <c r="G21" s="9" t="str">
        <f t="shared" si="0"/>
        <v>10% Discount</v>
      </c>
      <c r="H21" s="9" t="str">
        <f t="shared" si="1"/>
        <v>Eligible</v>
      </c>
      <c r="I21" s="9">
        <f t="shared" si="2"/>
        <v>34000</v>
      </c>
      <c r="J21" s="9">
        <f t="shared" si="3"/>
        <v>33900</v>
      </c>
    </row>
    <row r="22" spans="1:11" ht="15" thickBot="1"/>
    <row r="23" spans="1:11" ht="16.2" thickBot="1">
      <c r="A23" s="24" t="s">
        <v>125</v>
      </c>
      <c r="B23" s="24" t="s">
        <v>106</v>
      </c>
      <c r="F23" s="54" t="s">
        <v>132</v>
      </c>
      <c r="G23" s="55"/>
      <c r="H23" s="55"/>
      <c r="I23" s="55"/>
      <c r="J23" s="55"/>
      <c r="K23" s="55"/>
    </row>
    <row r="24" spans="1:11" ht="15" thickBot="1">
      <c r="A24" s="12" t="s">
        <v>102</v>
      </c>
      <c r="B24" s="13">
        <f>SUM(E2:E21)</f>
        <v>507725</v>
      </c>
      <c r="F24" s="22" t="s">
        <v>56</v>
      </c>
      <c r="G24" s="23" t="s">
        <v>60</v>
      </c>
      <c r="H24" s="22" t="s">
        <v>80</v>
      </c>
      <c r="I24" s="22" t="s">
        <v>78</v>
      </c>
      <c r="J24" s="22" t="s">
        <v>66</v>
      </c>
      <c r="K24" s="22" t="s">
        <v>63</v>
      </c>
    </row>
    <row r="25" spans="1:11" ht="15" thickBot="1">
      <c r="A25" s="12" t="s">
        <v>103</v>
      </c>
      <c r="B25" s="13">
        <f>ROUND(AVERAGE(E2:E21),2)</f>
        <v>25386.25</v>
      </c>
      <c r="F25" s="9" t="s">
        <v>61</v>
      </c>
      <c r="G25" s="9">
        <f>SUMIFS($E$2:$E$21, $C$2:$C$21, $F25, $B$2:$B$21, G$24)</f>
        <v>42233</v>
      </c>
      <c r="H25" s="9">
        <f>SUMIFS($E$2:$E$21, $C$2:$C$21, $F25, $B$2:$B$21, H$24)</f>
        <v>7283</v>
      </c>
      <c r="I25" s="9">
        <f>SUMIFS($E$2:$E$21, $C$2:$C$21, $F25, $B$2:$B$21, I$24)</f>
        <v>0</v>
      </c>
      <c r="J25" s="9">
        <f>SUMIFS($E$2:$E$21, $C$2:$C$21, $F25, $B$2:$B$21, J$24)</f>
        <v>23672</v>
      </c>
      <c r="K25" s="9">
        <f>SUMIFS($E$2:$E$21, $C$2:$C$21, $F25, $B$2:$B$21, K$24)</f>
        <v>0</v>
      </c>
    </row>
    <row r="26" spans="1:11" ht="15" thickBot="1">
      <c r="A26" s="12" t="s">
        <v>104</v>
      </c>
      <c r="B26" s="13">
        <f>MAX(E2:E21)</f>
        <v>46429</v>
      </c>
      <c r="F26" s="9" t="s">
        <v>68</v>
      </c>
      <c r="G26" s="9">
        <f>SUMIFS($E$2:$E$21, $C$2:$C$21, $F26, $B$2:$B$21, G$24)</f>
        <v>80349</v>
      </c>
      <c r="H26" s="9">
        <f>SUMIFS($E$2:$E$21, $C$2:$C$21, $F26, $B$2:$B$21, H$24)</f>
        <v>31238</v>
      </c>
      <c r="I26" s="9">
        <f>SUMIFS($E$2:$E$21, $C$2:$C$21, $F26, $B$2:$B$21, I$24)</f>
        <v>0</v>
      </c>
      <c r="J26" s="9">
        <f>SUMIFS($E$2:$E$21, $C$2:$C$21, $F26, $B$2:$B$21, J$24)</f>
        <v>37335</v>
      </c>
      <c r="K26" s="9">
        <f>SUMIFS($E$2:$E$21, $C$2:$C$21, $F26, $B$2:$B$21, K$24)</f>
        <v>25010</v>
      </c>
    </row>
    <row r="27" spans="1:11" ht="15" thickBot="1">
      <c r="A27" s="12" t="s">
        <v>105</v>
      </c>
      <c r="B27" s="13">
        <f>MIN(E2:E21)</f>
        <v>5264</v>
      </c>
      <c r="F27" s="9" t="s">
        <v>70</v>
      </c>
      <c r="G27" s="9">
        <f>SUMIFS($E$2:$E$21, $C$2:$C$21, $F27, $B$2:$B$21, G$24)</f>
        <v>43388</v>
      </c>
      <c r="H27" s="9">
        <f>SUMIFS($E$2:$E$21, $C$2:$C$21, $F27, $B$2:$B$21, H$24)</f>
        <v>0</v>
      </c>
      <c r="I27" s="9">
        <f>SUMIFS($E$2:$E$21, $C$2:$C$21, $F27, $B$2:$B$21, I$24)</f>
        <v>77482</v>
      </c>
      <c r="J27" s="9">
        <f>SUMIFS($E$2:$E$21, $C$2:$C$21, $F27, $B$2:$B$21, J$24)</f>
        <v>19757</v>
      </c>
      <c r="K27" s="9">
        <f>SUMIFS($E$2:$E$21, $C$2:$C$21, $F27, $B$2:$B$21, K$24)</f>
        <v>0</v>
      </c>
    </row>
    <row r="28" spans="1:11" ht="15" thickBot="1">
      <c r="F28" s="9" t="s">
        <v>64</v>
      </c>
      <c r="G28" s="9">
        <f>SUMIFS($E$2:$E$21, $C$2:$C$21, $F28, $B$2:$B$21, G$24)</f>
        <v>0</v>
      </c>
      <c r="H28" s="9">
        <f>SUMIFS($E$2:$E$21, $C$2:$C$21, $F28, $B$2:$B$21, H$24)</f>
        <v>0</v>
      </c>
      <c r="I28" s="9">
        <f>SUMIFS($E$2:$E$21, $C$2:$C$21, $F28, $B$2:$B$21, I$24)</f>
        <v>38161</v>
      </c>
      <c r="J28" s="9">
        <f>SUMIFS($E$2:$E$21, $C$2:$C$21, $F28, $B$2:$B$21, J$24)</f>
        <v>30436</v>
      </c>
      <c r="K28" s="9">
        <f>SUMIFS($E$2:$E$21, $C$2:$C$21, $F28, $B$2:$B$21, K$24)</f>
        <v>51381</v>
      </c>
    </row>
    <row r="29" spans="1:11" ht="16.2" thickBot="1">
      <c r="A29" s="51" t="s">
        <v>112</v>
      </c>
      <c r="B29" s="52"/>
      <c r="C29" s="53"/>
    </row>
    <row r="30" spans="1:11" ht="15" thickBot="1">
      <c r="A30" s="9" t="s">
        <v>54</v>
      </c>
      <c r="B30" s="9">
        <v>2007</v>
      </c>
      <c r="C30" s="9">
        <f>VLOOKUP(B30,A2:E21,5,FALSE)</f>
        <v>32058</v>
      </c>
    </row>
    <row r="31" spans="1:11" ht="15" thickBot="1">
      <c r="A31" s="9" t="s">
        <v>142</v>
      </c>
      <c r="B31" s="9" t="s">
        <v>71</v>
      </c>
      <c r="C31" s="14">
        <f>INDEX(E2:E21,MATCH(B31,D2:D21,0))</f>
        <v>43388</v>
      </c>
    </row>
    <row r="32" spans="1:11" ht="15" thickBot="1">
      <c r="A32" s="9" t="s">
        <v>140</v>
      </c>
      <c r="B32" s="9" t="s">
        <v>79</v>
      </c>
      <c r="C32" s="9">
        <f>_xlfn.XLOOKUP(B32,D2:D21,E2:E21,"Not Found")</f>
        <v>35611</v>
      </c>
    </row>
    <row r="33" spans="1:3" ht="15" thickBot="1">
      <c r="A33" s="9" t="s">
        <v>141</v>
      </c>
      <c r="B33" s="9" t="s">
        <v>63</v>
      </c>
      <c r="C33" s="14">
        <f>_xlfn.XMATCH(B33,B2:B21)</f>
        <v>2</v>
      </c>
    </row>
    <row r="34" spans="1:3" ht="15" thickBot="1">
      <c r="A34" s="9" t="s">
        <v>144</v>
      </c>
      <c r="B34" s="9" t="s">
        <v>143</v>
      </c>
      <c r="C34" s="9">
        <f ca="1">SUM(OFFSET(E2,0,0,5,1))</f>
        <v>96800</v>
      </c>
    </row>
  </sheetData>
  <mergeCells count="2">
    <mergeCell ref="A29:C29"/>
    <mergeCell ref="F23:K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DFCC-8B8E-4FB1-8385-1F961140FBA6}">
  <dimension ref="A1:I39"/>
  <sheetViews>
    <sheetView topLeftCell="A19" zoomScaleNormal="100" workbookViewId="0">
      <selection activeCell="H33" sqref="H33"/>
    </sheetView>
  </sheetViews>
  <sheetFormatPr defaultRowHeight="14.4"/>
  <cols>
    <col min="1" max="1" width="27.33203125" style="11" bestFit="1" customWidth="1"/>
    <col min="2" max="2" width="12.21875" style="11" bestFit="1" customWidth="1"/>
    <col min="3" max="3" width="12.88671875" style="11" customWidth="1"/>
    <col min="4" max="4" width="12.77734375" style="11" bestFit="1" customWidth="1"/>
    <col min="5" max="5" width="16.88671875" style="11" bestFit="1" customWidth="1"/>
    <col min="6" max="6" width="12.21875" style="11" bestFit="1" customWidth="1"/>
    <col min="7" max="7" width="12.21875" style="11" customWidth="1"/>
    <col min="8" max="8" width="16.44140625" style="11" bestFit="1" customWidth="1"/>
    <col min="9" max="9" width="12.88671875" style="11" customWidth="1"/>
    <col min="10" max="16384" width="8.88671875" style="11"/>
  </cols>
  <sheetData>
    <row r="1" spans="1:9" ht="15" thickBot="1">
      <c r="A1" s="1" t="s">
        <v>26</v>
      </c>
      <c r="B1" s="2" t="s">
        <v>1</v>
      </c>
      <c r="C1" s="2" t="s">
        <v>27</v>
      </c>
      <c r="D1" s="31" t="s">
        <v>28</v>
      </c>
      <c r="E1" s="1" t="s">
        <v>29</v>
      </c>
      <c r="F1" s="35" t="s">
        <v>107</v>
      </c>
      <c r="G1" s="39" t="s">
        <v>124</v>
      </c>
      <c r="H1" s="21" t="s">
        <v>145</v>
      </c>
      <c r="I1" s="36"/>
    </row>
    <row r="2" spans="1:9" ht="15" thickBot="1">
      <c r="A2" s="3">
        <v>3001</v>
      </c>
      <c r="B2" s="4" t="s">
        <v>30</v>
      </c>
      <c r="C2" s="4" t="s">
        <v>31</v>
      </c>
      <c r="D2" s="32">
        <v>86766</v>
      </c>
      <c r="E2" s="34">
        <v>42005</v>
      </c>
      <c r="F2" s="9" t="str">
        <f>LOWER(B2)</f>
        <v>employee 1</v>
      </c>
      <c r="G2" s="9">
        <f ca="1">DATEDIF(E18,TODAY(),"d")</f>
        <v>305</v>
      </c>
      <c r="H2" s="9" t="s">
        <v>146</v>
      </c>
    </row>
    <row r="3" spans="1:9" ht="15" thickBot="1">
      <c r="A3" s="3">
        <v>3002</v>
      </c>
      <c r="B3" s="4" t="s">
        <v>32</v>
      </c>
      <c r="C3" s="4" t="s">
        <v>31</v>
      </c>
      <c r="D3" s="32">
        <v>31943</v>
      </c>
      <c r="E3" s="34">
        <v>42255</v>
      </c>
      <c r="F3" s="9" t="str">
        <f t="shared" ref="F3:F21" si="0">LOWER(B3)</f>
        <v>employee 2</v>
      </c>
      <c r="H3" s="9" t="str" cm="1">
        <f t="array" aca="1" ref="H3" ca="1">INDIRECT(H2)</f>
        <v>Employee 3</v>
      </c>
    </row>
    <row r="4" spans="1:9" ht="15" thickBot="1">
      <c r="A4" s="3">
        <v>3003</v>
      </c>
      <c r="B4" s="4" t="s">
        <v>33</v>
      </c>
      <c r="C4" s="4" t="s">
        <v>34</v>
      </c>
      <c r="D4" s="32">
        <v>63374</v>
      </c>
      <c r="E4" s="8">
        <v>42505</v>
      </c>
      <c r="F4" s="9" t="str">
        <f t="shared" si="0"/>
        <v>employee 3</v>
      </c>
    </row>
    <row r="5" spans="1:9" ht="15" thickBot="1">
      <c r="A5" s="3">
        <v>3004</v>
      </c>
      <c r="B5" s="4" t="s">
        <v>35</v>
      </c>
      <c r="C5" s="4" t="s">
        <v>31</v>
      </c>
      <c r="D5" s="32">
        <v>109972</v>
      </c>
      <c r="E5" s="8">
        <v>42755</v>
      </c>
      <c r="F5" s="9" t="str">
        <f t="shared" si="0"/>
        <v>employee 4</v>
      </c>
    </row>
    <row r="6" spans="1:9" ht="15" thickBot="1">
      <c r="A6" s="3">
        <v>3005</v>
      </c>
      <c r="B6" s="4" t="s">
        <v>36</v>
      </c>
      <c r="C6" s="4" t="s">
        <v>37</v>
      </c>
      <c r="D6" s="32">
        <v>54149</v>
      </c>
      <c r="E6" s="8">
        <v>43005</v>
      </c>
      <c r="F6" s="9" t="str">
        <f t="shared" si="0"/>
        <v>employee 5</v>
      </c>
    </row>
    <row r="7" spans="1:9" ht="15" thickBot="1">
      <c r="A7" s="3">
        <v>3006</v>
      </c>
      <c r="B7" s="4" t="s">
        <v>38</v>
      </c>
      <c r="C7" s="4" t="s">
        <v>37</v>
      </c>
      <c r="D7" s="32">
        <v>78689</v>
      </c>
      <c r="E7" s="8">
        <v>43255</v>
      </c>
      <c r="F7" s="9" t="str">
        <f t="shared" si="0"/>
        <v>employee 6</v>
      </c>
    </row>
    <row r="8" spans="1:9" ht="15" thickBot="1">
      <c r="A8" s="3">
        <v>3007</v>
      </c>
      <c r="B8" s="4" t="s">
        <v>39</v>
      </c>
      <c r="C8" s="4" t="s">
        <v>40</v>
      </c>
      <c r="D8" s="32">
        <v>35960</v>
      </c>
      <c r="E8" s="8">
        <v>43505</v>
      </c>
      <c r="F8" s="9" t="str">
        <f t="shared" si="0"/>
        <v>employee 7</v>
      </c>
    </row>
    <row r="9" spans="1:9" ht="15" thickBot="1">
      <c r="A9" s="3">
        <v>3008</v>
      </c>
      <c r="B9" s="4" t="s">
        <v>41</v>
      </c>
      <c r="C9" s="4" t="s">
        <v>37</v>
      </c>
      <c r="D9" s="32">
        <v>91659</v>
      </c>
      <c r="E9" s="8">
        <v>43755</v>
      </c>
      <c r="F9" s="9" t="str">
        <f t="shared" si="0"/>
        <v>employee 8</v>
      </c>
    </row>
    <row r="10" spans="1:9" ht="15" thickBot="1">
      <c r="A10" s="3">
        <v>3009</v>
      </c>
      <c r="B10" s="4" t="s">
        <v>42</v>
      </c>
      <c r="C10" s="4" t="s">
        <v>37</v>
      </c>
      <c r="D10" s="32">
        <v>90423</v>
      </c>
      <c r="E10" s="8">
        <v>44005</v>
      </c>
      <c r="F10" s="9" t="str">
        <f t="shared" si="0"/>
        <v>employee 9</v>
      </c>
    </row>
    <row r="11" spans="1:9" ht="15" thickBot="1">
      <c r="A11" s="3">
        <v>3010</v>
      </c>
      <c r="B11" s="4" t="s">
        <v>43</v>
      </c>
      <c r="C11" s="4" t="s">
        <v>34</v>
      </c>
      <c r="D11" s="32">
        <v>107877</v>
      </c>
      <c r="E11" s="8">
        <v>44255</v>
      </c>
      <c r="F11" s="9" t="str">
        <f t="shared" si="0"/>
        <v>employee 10</v>
      </c>
    </row>
    <row r="12" spans="1:9" ht="15" thickBot="1">
      <c r="A12" s="3">
        <v>3011</v>
      </c>
      <c r="B12" s="4" t="s">
        <v>44</v>
      </c>
      <c r="C12" s="4" t="s">
        <v>31</v>
      </c>
      <c r="D12" s="32">
        <v>107634</v>
      </c>
      <c r="E12" s="8">
        <v>44505</v>
      </c>
      <c r="F12" s="9" t="str">
        <f t="shared" si="0"/>
        <v>employee 11</v>
      </c>
    </row>
    <row r="13" spans="1:9" ht="15" thickBot="1">
      <c r="A13" s="3">
        <v>3012</v>
      </c>
      <c r="B13" s="4" t="s">
        <v>45</v>
      </c>
      <c r="C13" s="4" t="s">
        <v>31</v>
      </c>
      <c r="D13" s="32">
        <v>35226</v>
      </c>
      <c r="E13" s="8">
        <v>44755</v>
      </c>
      <c r="F13" s="9" t="str">
        <f t="shared" si="0"/>
        <v>employee 12</v>
      </c>
    </row>
    <row r="14" spans="1:9" ht="15" thickBot="1">
      <c r="A14" s="3">
        <v>3013</v>
      </c>
      <c r="B14" s="4" t="s">
        <v>46</v>
      </c>
      <c r="C14" s="4" t="s">
        <v>34</v>
      </c>
      <c r="D14" s="32">
        <v>40872</v>
      </c>
      <c r="E14" s="8">
        <v>45005</v>
      </c>
      <c r="F14" s="9" t="str">
        <f t="shared" si="0"/>
        <v>employee 13</v>
      </c>
    </row>
    <row r="15" spans="1:9" ht="15" thickBot="1">
      <c r="A15" s="3">
        <v>3014</v>
      </c>
      <c r="B15" s="4" t="s">
        <v>47</v>
      </c>
      <c r="C15" s="4" t="s">
        <v>34</v>
      </c>
      <c r="D15" s="32">
        <v>55378</v>
      </c>
      <c r="E15" s="8">
        <v>45255</v>
      </c>
      <c r="F15" s="9" t="str">
        <f t="shared" si="0"/>
        <v>employee 14</v>
      </c>
    </row>
    <row r="16" spans="1:9" ht="15" thickBot="1">
      <c r="A16" s="3">
        <v>3015</v>
      </c>
      <c r="B16" s="4" t="s">
        <v>48</v>
      </c>
      <c r="C16" s="4" t="s">
        <v>34</v>
      </c>
      <c r="D16" s="32">
        <v>63297</v>
      </c>
      <c r="E16" s="8">
        <v>45505</v>
      </c>
      <c r="F16" s="9" t="str">
        <f t="shared" si="0"/>
        <v>employee 15</v>
      </c>
    </row>
    <row r="17" spans="1:9" ht="15" thickBot="1">
      <c r="A17" s="3">
        <v>3016</v>
      </c>
      <c r="B17" s="4" t="s">
        <v>49</v>
      </c>
      <c r="C17" s="4" t="s">
        <v>31</v>
      </c>
      <c r="D17" s="32">
        <v>114173</v>
      </c>
      <c r="E17" s="8">
        <v>45755</v>
      </c>
      <c r="F17" s="9" t="str">
        <f t="shared" si="0"/>
        <v>employee 16</v>
      </c>
    </row>
    <row r="18" spans="1:9" ht="15" thickBot="1">
      <c r="A18" s="3">
        <v>3017</v>
      </c>
      <c r="B18" s="4" t="s">
        <v>50</v>
      </c>
      <c r="C18" s="4" t="s">
        <v>34</v>
      </c>
      <c r="D18" s="32">
        <v>86915</v>
      </c>
      <c r="E18" s="8">
        <v>46005</v>
      </c>
      <c r="F18" s="9" t="str">
        <f t="shared" si="0"/>
        <v>employee 17</v>
      </c>
    </row>
    <row r="19" spans="1:9" ht="15" thickBot="1">
      <c r="A19" s="3">
        <v>3018</v>
      </c>
      <c r="B19" s="4" t="s">
        <v>51</v>
      </c>
      <c r="C19" s="4" t="s">
        <v>37</v>
      </c>
      <c r="D19" s="32">
        <v>116284</v>
      </c>
      <c r="E19" s="8">
        <v>46255</v>
      </c>
      <c r="F19" s="9" t="str">
        <f t="shared" si="0"/>
        <v>employee 18</v>
      </c>
    </row>
    <row r="20" spans="1:9" ht="15" thickBot="1">
      <c r="A20" s="3">
        <v>3019</v>
      </c>
      <c r="B20" s="4" t="s">
        <v>52</v>
      </c>
      <c r="C20" s="4" t="s">
        <v>40</v>
      </c>
      <c r="D20" s="32">
        <v>116283</v>
      </c>
      <c r="E20" s="8">
        <v>46505</v>
      </c>
      <c r="F20" s="9" t="str">
        <f t="shared" si="0"/>
        <v>employee 19</v>
      </c>
    </row>
    <row r="21" spans="1:9" ht="15" thickBot="1">
      <c r="A21" s="3">
        <v>3020</v>
      </c>
      <c r="B21" s="4" t="s">
        <v>53</v>
      </c>
      <c r="C21" s="4" t="s">
        <v>40</v>
      </c>
      <c r="D21" s="32">
        <v>99924</v>
      </c>
      <c r="E21" s="8">
        <v>46755</v>
      </c>
      <c r="F21" s="9" t="str">
        <f t="shared" si="0"/>
        <v>employee 20</v>
      </c>
    </row>
    <row r="24" spans="1:9">
      <c r="A24" s="25" t="s">
        <v>113</v>
      </c>
      <c r="B24" s="25" t="s">
        <v>106</v>
      </c>
    </row>
    <row r="25" spans="1:9" ht="15.6" customHeight="1">
      <c r="A25" s="16" t="s">
        <v>108</v>
      </c>
      <c r="B25" s="17">
        <f>SUM(D2:D21)</f>
        <v>1586798</v>
      </c>
    </row>
    <row r="26" spans="1:9" ht="18" customHeight="1">
      <c r="A26" s="16" t="s">
        <v>109</v>
      </c>
      <c r="B26" s="17">
        <f>ROUND(AVERAGE(D2:D21),2)</f>
        <v>79339.899999999994</v>
      </c>
    </row>
    <row r="27" spans="1:9">
      <c r="A27" s="16" t="s">
        <v>110</v>
      </c>
      <c r="B27" s="17">
        <f>MAX(D2:D21)</f>
        <v>116284</v>
      </c>
    </row>
    <row r="28" spans="1:9">
      <c r="A28" s="16" t="s">
        <v>111</v>
      </c>
      <c r="B28" s="17">
        <f>MIN(D2:D21)</f>
        <v>31943</v>
      </c>
    </row>
    <row r="30" spans="1:9">
      <c r="I30" s="18"/>
    </row>
    <row r="31" spans="1:9">
      <c r="A31" s="44" t="s">
        <v>114</v>
      </c>
      <c r="B31" s="44"/>
    </row>
    <row r="32" spans="1:9">
      <c r="A32" s="19" t="s">
        <v>115</v>
      </c>
      <c r="B32" s="19">
        <v>3009</v>
      </c>
    </row>
    <row r="33" spans="1:2">
      <c r="A33" s="19" t="s">
        <v>116</v>
      </c>
      <c r="B33" s="19">
        <f>INDEX(D2:D21,MATCH(B32,A2:A21,0))</f>
        <v>90423</v>
      </c>
    </row>
    <row r="34" spans="1:2">
      <c r="A34" s="19" t="s">
        <v>117</v>
      </c>
      <c r="B34" s="19">
        <f>_xlfn.XLOOKUP(3019,A2:A21,D2:D21,"Not Found")</f>
        <v>116283</v>
      </c>
    </row>
    <row r="37" spans="1:2">
      <c r="A37" s="45" t="s">
        <v>118</v>
      </c>
      <c r="B37" s="45"/>
    </row>
    <row r="38" spans="1:2">
      <c r="A38" s="19" t="s">
        <v>119</v>
      </c>
      <c r="B38" s="19">
        <f>CEILING(MAX(D2:D21),1000)</f>
        <v>117000</v>
      </c>
    </row>
    <row r="39" spans="1:2">
      <c r="A39" s="19" t="s">
        <v>120</v>
      </c>
      <c r="B39" s="20">
        <f>FLOOR(MIN(D2:D21),1000)</f>
        <v>31000</v>
      </c>
    </row>
  </sheetData>
  <mergeCells count="2">
    <mergeCell ref="A31:B31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 PATEL</dc:creator>
  <cp:lastModifiedBy>HANEE PATEL</cp:lastModifiedBy>
  <dcterms:created xsi:type="dcterms:W3CDTF">2026-10-14T03:36:47Z</dcterms:created>
  <dcterms:modified xsi:type="dcterms:W3CDTF">2026-10-15T14:13:09Z</dcterms:modified>
</cp:coreProperties>
</file>