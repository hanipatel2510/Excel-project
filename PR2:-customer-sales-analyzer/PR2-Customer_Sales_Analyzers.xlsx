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neep\Documents\Excel-PR2-anlyzer\"/>
    </mc:Choice>
  </mc:AlternateContent>
  <xr:revisionPtr revIDLastSave="0" documentId="13_ncr:1_{684CFB89-F6F0-43C3-9637-21B4BABBED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set" sheetId="1" r:id="rId1"/>
    <sheet name="Analysis" sheetId="2" r:id="rId2"/>
    <sheet name="Dashboard" sheetId="3" r:id="rId3"/>
    <sheet name="Dashboard Summary" sheetId="4" r:id="rId4"/>
  </sheets>
  <definedNames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Analysis!$E$14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iterate="1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2" l="1" a="1"/>
  <c r="B56" i="2" a="1"/>
  <c r="A56" i="2" a="1"/>
  <c r="G36" i="2"/>
  <c r="A14" i="3"/>
  <c r="G14" i="3"/>
  <c r="C14" i="3"/>
  <c r="L71" i="1"/>
  <c r="C43" i="2"/>
  <c r="B43" i="2"/>
  <c r="C42" i="2"/>
  <c r="B42" i="2"/>
  <c r="C41" i="2"/>
  <c r="B41" i="2"/>
  <c r="C40" i="2"/>
  <c r="B40" i="2"/>
  <c r="C39" i="2"/>
  <c r="B39" i="2"/>
  <c r="C38" i="2"/>
  <c r="B38" i="2"/>
  <c r="E37" i="2"/>
  <c r="C37" i="2"/>
  <c r="B37" i="2"/>
  <c r="F36" i="2"/>
  <c r="C36" i="2"/>
  <c r="B36" i="2"/>
  <c r="F3" i="2"/>
  <c r="A3" i="2" a="1"/>
  <c r="F2" i="2"/>
  <c r="A40" i="3"/>
  <c r="B39" i="3"/>
  <c r="E14" i="3"/>
  <c r="B40" i="3" l="1"/>
  <c r="A41" i="3"/>
  <c r="E38" i="2"/>
  <c r="F37" i="2"/>
  <c r="G37" i="2" s="1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19" i="2"/>
  <c r="C10" i="2"/>
  <c r="B10" i="2"/>
  <c r="C18" i="2"/>
  <c r="C9" i="2"/>
  <c r="B9" i="2"/>
  <c r="C8" i="2"/>
  <c r="B8" i="2"/>
  <c r="C7" i="2"/>
  <c r="B7" i="2"/>
  <c r="C6" i="2"/>
  <c r="B6" i="2"/>
  <c r="C5" i="2"/>
  <c r="B5" i="2"/>
  <c r="C4" i="2"/>
  <c r="B4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F10" i="2"/>
  <c r="F9" i="2"/>
  <c r="F7" i="2"/>
  <c r="F8" i="2"/>
  <c r="F6" i="2"/>
  <c r="F5" i="2"/>
  <c r="C3" i="2"/>
  <c r="B3" i="2"/>
  <c r="B41" i="3" l="1"/>
  <c r="A42" i="3"/>
  <c r="F38" i="2"/>
  <c r="G38" i="2" s="1"/>
  <c r="E39" i="2"/>
  <c r="B42" i="3" l="1"/>
  <c r="A43" i="3"/>
  <c r="E40" i="2"/>
  <c r="F39" i="2"/>
  <c r="G39" i="2" s="1"/>
  <c r="B43" i="3" l="1"/>
  <c r="A44" i="3"/>
  <c r="F40" i="2"/>
  <c r="G40" i="2" s="1"/>
  <c r="E41" i="2"/>
  <c r="B44" i="3" l="1"/>
  <c r="A45" i="3"/>
  <c r="F41" i="2"/>
  <c r="G41" i="2" s="1"/>
  <c r="E42" i="2"/>
  <c r="B45" i="3" l="1"/>
  <c r="A46" i="3"/>
  <c r="F42" i="2"/>
  <c r="G42" i="2" s="1"/>
  <c r="E43" i="2"/>
  <c r="B46" i="3" l="1"/>
  <c r="A47" i="3"/>
  <c r="F43" i="2"/>
  <c r="G43" i="2" s="1"/>
  <c r="E44" i="2"/>
  <c r="B47" i="3" l="1"/>
  <c r="A48" i="3"/>
  <c r="F44" i="2"/>
  <c r="G44" i="2" s="1"/>
  <c r="E45" i="2"/>
  <c r="B48" i="3" l="1"/>
  <c r="A49" i="3"/>
  <c r="E46" i="2"/>
  <c r="F45" i="2"/>
  <c r="G45" i="2" s="1"/>
  <c r="B49" i="3" l="1"/>
  <c r="A50" i="3"/>
  <c r="F46" i="2"/>
  <c r="G46" i="2" s="1"/>
  <c r="E47" i="2"/>
  <c r="B50" i="3" l="1"/>
  <c r="A51" i="3"/>
  <c r="B51" i="3" s="1"/>
  <c r="F47" i="2"/>
  <c r="G47" i="2" s="1"/>
  <c r="E48" i="2"/>
  <c r="F48" i="2" s="1"/>
  <c r="G48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<sst xmlns="http://schemas.openxmlformats.org/spreadsheetml/2006/main" count="900" uniqueCount="132">
  <si>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</si>
  <si>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</si>
  <si>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</si>
  <si>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</si>
  <si>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</si>
  <si>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</si>
  <si>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</si>
  <si>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</si>
  <si>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</si>
  <si>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CUST019</t>
  </si>
  <si>
    <t>James Davis</t>
  </si>
  <si>
    <t>West</t>
  </si>
  <si>
    <t>Books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</si>
  <si>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</si>
  <si>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</si>
  <si>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</si>
  <si>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</si>
  <si>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</si>
  <si>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</si>
  <si>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</si>
  <si>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</si>
  <si>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</si>
  <si>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</si>
  <si>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</si>
  <si>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</si>
  <si>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</si>
  <si>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</si>
  <si>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</si>
  <si>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</si>
  <si>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</si>
  <si>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</si>
  <si>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</si>
  <si>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</si>
  <si>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</si>
  <si>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</si>
  <si>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</si>
  <si>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</si>
  <si>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</si>
  <si>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</si>
  <si>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</si>
  <si>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</si>
  <si>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</si>
  <si>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</si>
  <si>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</si>
  <si>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</si>
  <si>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</si>
  <si>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</si>
  <si>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</si>
  <si>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</si>
  <si>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</si>
  <si>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</si>
  <si>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</si>
  <si>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</si>
  <si>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</si>
  <si>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</si>
  <si>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</si>
  <si>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</si>
  <si>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</si>
  <si>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</si>
  <si>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</si>
  <si>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</si>
  <si>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</si>
  <si>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Linda Davis</t>
  </si>
  <si>
    <t>CUST011</t>
  </si>
  <si>
    <t>Sarah Davis</t>
  </si>
  <si>
    <t>CUST002</t>
  </si>
  <si>
    <t>Emma Taylor</t>
  </si>
  <si>
    <t>CUST003</t>
  </si>
  <si>
    <t>CUST020</t>
  </si>
  <si>
    <t>Linda Moore</t>
  </si>
  <si>
    <t>CUST024</t>
  </si>
  <si>
    <t>David Anderson</t>
  </si>
  <si>
    <t>CUST004</t>
  </si>
  <si>
    <t>CUST013</t>
  </si>
  <si>
    <t>CUST027</t>
  </si>
  <si>
    <t>CUST018</t>
  </si>
  <si>
    <t>Task 2: What-If Analysis (Discount vs Profit)</t>
  </si>
  <si>
    <t>Task 6: Last Updated Timestamp</t>
  </si>
  <si>
    <t>Total Sales</t>
  </si>
  <si>
    <t>Base Total Profit</t>
  </si>
  <si>
    <t>Base Total Sales</t>
  </si>
  <si>
    <t>Task 7: High-Value Customers (&gt; 8000 Purchase)</t>
  </si>
  <si>
    <t>Discount Rate</t>
  </si>
  <si>
    <t>Total Purchase</t>
  </si>
  <si>
    <t>Task 3: Linear Regression (Profit vs Sales)</t>
  </si>
  <si>
    <t>SUMMARY OUTPUT</t>
  </si>
  <si>
    <t>Top Customer (Using INDEX &amp; MATCH)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</si>
  <si>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</si>
  <si>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</si>
  <si>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</si>
  <si>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</si>
  <si>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</si>
  <si>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</si>
  <si>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</si>
  <si>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</si>
  <si>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</si>
  <si>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</si>
  <si>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</si>
  <si>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</si>
  <si>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</si>
  <si>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</si>
  <si>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</si>
  <si>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</si>
  <si>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</si>
  <si>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</si>
  <si>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</si>
  <si>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</si>
  <si>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</si>
  <si>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</si>
  <si>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</si>
  <si>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Task 4: Descriptive Statistics</t>
  </si>
  <si>
    <t>Task 5: Monthly Sales Growth with Arrows</t>
  </si>
  <si>
    <t>Metric</t>
  </si>
  <si>
    <t>Month</t>
  </si>
  <si>
    <t>Monthly Sales</t>
  </si>
  <si>
    <t>Growth %</t>
  </si>
  <si>
    <t>Mean (Average)</t>
  </si>
  <si>
    <t>Median</t>
  </si>
  <si>
    <t>Standard Deviation</t>
  </si>
  <si>
    <t>Minimum</t>
  </si>
  <si>
    <t>Maximum</t>
  </si>
  <si>
    <t>Sum (Total)</t>
  </si>
  <si>
    <t>Count</t>
  </si>
  <si>
    <t>Task 8: Regional Sales Breakdown by Product Category</t>
  </si>
  <si>
    <t>Task 9: KPIs Visualization Dashboard</t>
  </si>
  <si>
    <t>Sum of Sales</t>
  </si>
  <si>
    <t>Grand Total</t>
  </si>
  <si>
    <t>TOTAL PROFIT</t>
  </si>
  <si>
    <t>PROFIT MARGIN</t>
  </si>
  <si>
    <t>TOTAL RECORDS</t>
  </si>
  <si>
    <t>TOTAL SALES</t>
  </si>
  <si>
    <t>Task 1: Top 10 Customers (Conditional Formatting)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</si>
</sst>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Green]&quot;▲ &quot;0.0%;[Red]&quot; ▼ &quot;0.0%;0.0%"/>
    <numFmt numFmtId="165" formatCode="yyyy/mm/dd"/>
    <numFmt numFmtId="166" formatCode="[Green]&quot;↑ &quot;0.0%;[Red]&quot; ↓ &quot;0.0%;0.0%"/>
  </numFmts>
  <fonts count="11">
    <font>
      <sz val="11"/>
      <color theme="1"/>
      <name val="Calibri"/>
      <charset val="134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17" fontId="4" fillId="0" borderId="0" xfId="0" applyNumberFormat="1" applyFont="1" applyAlignment="1">
      <alignment vertical="center"/>
    </xf>
    <xf numFmtId="0" fontId="5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0" borderId="6" xfId="0" applyFon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6" xfId="0" applyBorder="1" applyAlignment="1">
      <alignment horizontal="right" wrapText="1"/>
    </xf>
    <xf numFmtId="165" fontId="0" fillId="0" borderId="6" xfId="0" applyNumberFormat="1" applyBorder="1" applyAlignment="1">
      <alignment horizontal="right" wrapText="1"/>
    </xf>
    <xf numFmtId="17" fontId="0" fillId="0" borderId="0" xfId="0" applyNumberFormat="1"/>
    <xf numFmtId="0" fontId="8" fillId="0" borderId="0" xfId="0" applyFont="1"/>
    <xf numFmtId="0" fontId="2" fillId="3" borderId="0" xfId="0" applyFont="1" applyFill="1" applyAlignment="1">
      <alignment horizontal="center"/>
    </xf>
    <xf numFmtId="0" fontId="9" fillId="7" borderId="0" xfId="0" applyFont="1" applyFill="1"/>
    <xf numFmtId="0" fontId="6" fillId="0" borderId="0" xfId="0" applyFont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8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6" fontId="0" fillId="0" borderId="1" xfId="1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22" fontId="0" fillId="0" borderId="3" xfId="0" applyNumberFormat="1" applyBorder="1" applyAlignment="1">
      <alignment horizontal="center" vertical="center"/>
    </xf>
    <xf numFmtId="22" fontId="0" fillId="0" borderId="7" xfId="0" applyNumberFormat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8" borderId="10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10" fontId="10" fillId="0" borderId="14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10"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</dxfs>
  <tableStyles count="0" defaultTableStyle="TableStyleMedium2" defaultPivotStyle="PivotStyleLight16"/>
  <colors>
    <mruColors>
      <color rgb="FFAAEE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[PR2-Customer_Sales_Analyzers.xlsx]Dashboard!PivotTable1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tx1"/>
                </a:solidFill>
              </a:rPr>
              <a:t>Sales by Region and Product</a:t>
            </a:r>
          </a:p>
        </c:rich>
      </c:tx>
      <c:layout>
        <c:manualLayout>
          <c:xMode val="edge"/>
          <c:yMode val="edge"/>
          <c:x val="0.263437003411157"/>
          <c:y val="3.9465366535641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Dashboard!$B$3:$B$4</c:f>
              <c:strCache>
                <c:ptCount val="1"/>
                <c:pt idx="0">
                  <c:v>Books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Dashboard!$B$5:$B$10</c:f>
              <c:numCache>
                <c:formatCode>General</c:formatCode>
                <c:ptCount val="5"/>
                <c:pt idx="0">
                  <c:v>11297.15</c:v>
                </c:pt>
                <c:pt idx="1">
                  <c:v>11389.09</c:v>
                </c:pt>
                <c:pt idx="2">
                  <c:v>8037.01</c:v>
                </c:pt>
                <c:pt idx="3">
                  <c:v>9588.0400000000009</c:v>
                </c:pt>
                <c:pt idx="4">
                  <c:v>6691.17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B-497D-9510-CDD80CA474B0}"/>
            </c:ext>
          </c:extLst>
        </c:ser>
        <c:ser>
          <c:idx val="1"/>
          <c:order val="1"/>
          <c:tx>
            <c:strRef>
              <c:f>Dashboard!$C$3:$C$4</c:f>
              <c:strCache>
                <c:ptCount val="1"/>
                <c:pt idx="0">
                  <c:v>Clothing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Dashboard!$C$5:$C$10</c:f>
              <c:numCache>
                <c:formatCode>General</c:formatCode>
                <c:ptCount val="5"/>
                <c:pt idx="0">
                  <c:v>12200.26</c:v>
                </c:pt>
                <c:pt idx="1">
                  <c:v>2401.4499999999998</c:v>
                </c:pt>
                <c:pt idx="2">
                  <c:v>8422.82</c:v>
                </c:pt>
                <c:pt idx="3">
                  <c:v>8393.6299999999992</c:v>
                </c:pt>
                <c:pt idx="4">
                  <c:v>10509.43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1B-497D-9510-CDD80CA474B0}"/>
            </c:ext>
          </c:extLst>
        </c:ser>
        <c:ser>
          <c:idx val="2"/>
          <c:order val="2"/>
          <c:tx>
            <c:strRef>
              <c:f>Dashboard!$D$3:$D$4</c:f>
              <c:strCache>
                <c:ptCount val="1"/>
                <c:pt idx="0">
                  <c:v>Electronics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Dashboard!$D$5:$D$10</c:f>
              <c:numCache>
                <c:formatCode>General</c:formatCode>
                <c:ptCount val="5"/>
                <c:pt idx="0">
                  <c:v>6621.24</c:v>
                </c:pt>
                <c:pt idx="1">
                  <c:v>2869.54</c:v>
                </c:pt>
                <c:pt idx="2">
                  <c:v>8191.71</c:v>
                </c:pt>
                <c:pt idx="3">
                  <c:v>11989.07</c:v>
                </c:pt>
                <c:pt idx="4">
                  <c:v>11372.44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1B-497D-9510-CDD80CA474B0}"/>
            </c:ext>
          </c:extLst>
        </c:ser>
        <c:ser>
          <c:idx val="3"/>
          <c:order val="3"/>
          <c:tx>
            <c:strRef>
              <c:f>Dashboard!$E$3:$E$4</c:f>
              <c:strCache>
                <c:ptCount val="1"/>
                <c:pt idx="0">
                  <c:v>Furniture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Dashboard!$E$5:$E$10</c:f>
              <c:numCache>
                <c:formatCode>General</c:formatCode>
                <c:ptCount val="5"/>
                <c:pt idx="0">
                  <c:v>4876.96</c:v>
                </c:pt>
                <c:pt idx="1">
                  <c:v>7592.34</c:v>
                </c:pt>
                <c:pt idx="2">
                  <c:v>6978.08</c:v>
                </c:pt>
                <c:pt idx="3">
                  <c:v>7982.73</c:v>
                </c:pt>
                <c:pt idx="4">
                  <c:v>9182.7800000000007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1B-497D-9510-CDD80CA474B0}"/>
            </c:ext>
          </c:extLst>
        </c:ser>
        <c:ser>
          <c:idx val="4"/>
          <c:order val="4"/>
          <c:tx>
            <c:strRef>
              <c:f>Dashboard!$F$3:$F$4</c:f>
              <c:strCache>
                <c:ptCount val="1"/>
                <c:pt idx="0">
                  <c:v>Office Supplies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Dashboard!$A$5:$A$10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Dashboard!$F$5:$F$10</c:f>
              <c:numCache>
                <c:formatCode>General</c:formatCode>
                <c:ptCount val="5"/>
                <c:pt idx="0">
                  <c:v>8472.7199999999993</c:v>
                </c:pt>
                <c:pt idx="1">
                  <c:v>8189.22</c:v>
                </c:pt>
                <c:pt idx="2">
                  <c:v>3345.8</c:v>
                </c:pt>
                <c:pt idx="3">
                  <c:v>2295.3200000000002</c:v>
                </c:pt>
                <c:pt idx="4">
                  <c:v>6327.76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1B-497D-9510-CDD80CA47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94450602"/>
        <c:axId val="427701232"/>
      </c:barChart>
      <c:catAx>
        <c:axId val="3944506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701232"/>
        <c:crosses val="autoZero"/>
        <c:auto val="1"/>
        <c:lblAlgn val="ctr"/>
        <c:lblOffset val="100"/>
        <c:noMultiLvlLbl val="0"/>
      </c:catAx>
      <c:valAx>
        <c:axId val="427701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44506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188998f-a505-4426-a551-233c5ea447df}"/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IN">
                <a:solidFill>
                  <a:schemeClr val="tx1"/>
                </a:solidFill>
              </a:rPr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51E-4D5E-A452-BC75A37B6C68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51E-4D5E-A452-BC75A37B6C68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51E-4D5E-A452-BC75A37B6C68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51E-4D5E-A452-BC75A37B6C68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51E-4D5E-A452-BC75A37B6C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5"/>
              <c:pt idx="0">
                <c:v>Books</c:v>
              </c:pt>
              <c:pt idx="1">
                <c:v>Clothing</c:v>
              </c:pt>
              <c:pt idx="2">
                <c:v>Electronics</c:v>
              </c:pt>
              <c:pt idx="3">
                <c:v>Furniture</c:v>
              </c:pt>
              <c:pt idx="4">
                <c:v>Office Supplies</c:v>
              </c:pt>
            </c:strLit>
          </c:cat>
          <c:val>
            <c:numLit>
              <c:formatCode>General</c:formatCode>
              <c:ptCount val="5"/>
              <c:pt idx="0">
                <c:v>47002.46</c:v>
              </c:pt>
              <c:pt idx="1">
                <c:v>41927.589999999997</c:v>
              </c:pt>
              <c:pt idx="2">
                <c:v>41044</c:v>
              </c:pt>
              <c:pt idx="3">
                <c:v>36612.89</c:v>
              </c:pt>
              <c:pt idx="4">
                <c:v>28630.82</c:v>
              </c:pt>
            </c:numLit>
          </c:val>
          <c:extLst>
            <c:ext xmlns:c16="http://schemas.microsoft.com/office/drawing/2014/chart" uri="{C3380CC4-5D6E-409C-BE32-E72D297353CC}">
              <c16:uniqueId val="{0000000A-B51E-4D5E-A452-BC75A37B6C6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50e7f5-dd4c-4e80-8a53-80fcd5aeba60}"/>
      </c:ext>
    </c:extLst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Sales Trend (Apr 2024–Apr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Analysis!$F$35</c:f>
              <c:strCache>
                <c:ptCount val="1"/>
                <c:pt idx="0">
                  <c:v>Monthly 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Analysis!$E$36:$E$48</c:f>
              <c:numCache>
                <c:formatCode>mmm\-yy</c:formatCode>
                <c:ptCount val="13"/>
                <c:pt idx="0">
                  <c:v>45383</c:v>
                </c:pt>
                <c:pt idx="1">
                  <c:v>45413</c:v>
                </c:pt>
                <c:pt idx="2">
                  <c:v>45444</c:v>
                </c:pt>
                <c:pt idx="3">
                  <c:v>45474</c:v>
                </c:pt>
                <c:pt idx="4">
                  <c:v>45505</c:v>
                </c:pt>
                <c:pt idx="5">
                  <c:v>45536</c:v>
                </c:pt>
                <c:pt idx="6">
                  <c:v>45566</c:v>
                </c:pt>
                <c:pt idx="7">
                  <c:v>45597</c:v>
                </c:pt>
                <c:pt idx="8">
                  <c:v>45627</c:v>
                </c:pt>
                <c:pt idx="9">
                  <c:v>45658</c:v>
                </c:pt>
                <c:pt idx="10">
                  <c:v>45689</c:v>
                </c:pt>
                <c:pt idx="11">
                  <c:v>45717</c:v>
                </c:pt>
                <c:pt idx="12">
                  <c:v>45748</c:v>
                </c:pt>
              </c:numCache>
            </c:numRef>
          </c:cat>
          <c:val>
            <c:numRef>
              <c:f>Analysis!$F$36:$F$48</c:f>
              <c:numCache>
                <c:formatCode>General</c:formatCode>
                <c:ptCount val="13"/>
                <c:pt idx="0">
                  <c:v>19029.96</c:v>
                </c:pt>
                <c:pt idx="1">
                  <c:v>18507.339999999997</c:v>
                </c:pt>
                <c:pt idx="2">
                  <c:v>20187.509999999998</c:v>
                </c:pt>
                <c:pt idx="3">
                  <c:v>11609.039999999999</c:v>
                </c:pt>
                <c:pt idx="4">
                  <c:v>10091.699999999999</c:v>
                </c:pt>
                <c:pt idx="5">
                  <c:v>20533.499999999996</c:v>
                </c:pt>
                <c:pt idx="6">
                  <c:v>14215.240000000002</c:v>
                </c:pt>
                <c:pt idx="7">
                  <c:v>20135.030000000002</c:v>
                </c:pt>
                <c:pt idx="8">
                  <c:v>11120.04</c:v>
                </c:pt>
                <c:pt idx="9">
                  <c:v>14914.650000000001</c:v>
                </c:pt>
                <c:pt idx="10">
                  <c:v>14006.359999999999</c:v>
                </c:pt>
                <c:pt idx="11">
                  <c:v>17655.219999999998</c:v>
                </c:pt>
                <c:pt idx="12">
                  <c:v>3212.17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3B-4FA7-BC60-2EBBE1369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663860"/>
        <c:axId val="417912555"/>
      </c:lineChart>
      <c:dateAx>
        <c:axId val="716663860"/>
        <c:scaling>
          <c:orientation val="minMax"/>
        </c:scaling>
        <c:delete val="0"/>
        <c:axPos val="b"/>
        <c:numFmt formatCode="mmm/yy" sourceLinked="0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912555"/>
        <c:crosses val="autoZero"/>
        <c:auto val="1"/>
        <c:lblOffset val="100"/>
        <c:baseTimeUnit val="months"/>
      </c:dateAx>
      <c:valAx>
        <c:axId val="4179125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6638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7b5934-6843-4a39-98dd-8999b883c6a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80644</xdr:colOff>
      <xdr:row>2</xdr:row>
      <xdr:rowOff>7697</xdr:rowOff>
    </xdr:from>
    <xdr:to>
      <xdr:col>16</xdr:col>
      <xdr:colOff>370114</xdr:colOff>
      <xdr:row>15</xdr:row>
      <xdr:rowOff>174172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304712</xdr:colOff>
      <xdr:row>17</xdr:row>
      <xdr:rowOff>22542</xdr:rowOff>
    </xdr:from>
    <xdr:to>
      <xdr:col>16</xdr:col>
      <xdr:colOff>413656</xdr:colOff>
      <xdr:row>32</xdr:row>
      <xdr:rowOff>87128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3</xdr:col>
      <xdr:colOff>636270</xdr:colOff>
      <xdr:row>47</xdr:row>
      <xdr:rowOff>17145</xdr:rowOff>
    </xdr:from>
    <xdr:ext cx="309880" cy="275590"/>
    <xdr:sp macro="" textlink="">
      <xdr:nvSpPr>
        <xdr:cNvPr id="6" name="Text Box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903470" y="8775700"/>
          <a:ext cx="309880" cy="27559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endParaRPr lang="en-US" sz="1100"/>
        </a:p>
      </xdr:txBody>
    </xdr:sp>
    <xdr:clientData/>
  </xdr:oneCellAnchor>
  <xdr:twoCellAnchor>
    <xdr:from>
      <xdr:col>8</xdr:col>
      <xdr:colOff>46009</xdr:colOff>
      <xdr:row>34</xdr:row>
      <xdr:rowOff>107758</xdr:rowOff>
    </xdr:from>
    <xdr:to>
      <xdr:col>16</xdr:col>
      <xdr:colOff>304800</xdr:colOff>
      <xdr:row>50</xdr:row>
      <xdr:rowOff>117284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587828</xdr:colOff>
      <xdr:row>1</xdr:row>
      <xdr:rowOff>123825</xdr:rowOff>
    </xdr:from>
    <xdr:to>
      <xdr:col>18</xdr:col>
      <xdr:colOff>66675</xdr:colOff>
      <xdr:row>31</xdr:row>
      <xdr:rowOff>123825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B2C8166-CCE0-A212-455B-59FF5669C110}"/>
            </a:ext>
          </a:extLst>
        </xdr:cNvPr>
        <xdr:cNvSpPr txBox="1"/>
      </xdr:nvSpPr>
      <xdr:spPr>
        <a:xfrm>
          <a:off x="587828" y="304800"/>
          <a:ext cx="10451647" cy="5429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200"/>
            <a:t>  </a:t>
          </a:r>
          <a:r>
            <a:rPr lang="en-IN" sz="1400" b="1">
              <a:solidFill>
                <a:schemeClr val="tx1"/>
              </a:solidFill>
            </a:rPr>
            <a:t>CUSTOMER SALES ANALYZER – EXECUTIVE DASHBOARD SUMMARY</a:t>
          </a:r>
          <a:endParaRPr lang="en-IN" sz="1200" b="1">
            <a:solidFill>
              <a:schemeClr val="tx1"/>
            </a:solidFill>
          </a:endParaRPr>
        </a:p>
        <a:p>
          <a:endParaRPr lang="en-IN" sz="1200"/>
        </a:p>
        <a:p>
          <a:r>
            <a:rPr lang="en-IN" sz="1200"/>
            <a:t>• </a:t>
          </a:r>
          <a:r>
            <a:rPr lang="en-IN" sz="1400" b="1">
              <a:latin typeface="Aptos Display" panose="020B0004020202020204" pitchFamily="34" charset="0"/>
            </a:rPr>
            <a:t>Project Overview &amp; Scope:</a:t>
          </a:r>
        </a:p>
        <a:p>
          <a:r>
            <a:rPr lang="en-IN" sz="1200"/>
            <a:t>  </a:t>
          </a:r>
          <a:r>
            <a:rPr lang="en-IN" sz="1400"/>
            <a:t>- Processed and analyzed 200 sales records to evaluate revenue patterns, profit margins, and territory dynamics.</a:t>
          </a:r>
        </a:p>
        <a:p>
          <a:r>
            <a:rPr lang="en-IN" sz="1400"/>
            <a:t>  - Formulated automated KPI models, scenario simulations, and interactive visual charts for executive decision-making.</a:t>
          </a:r>
        </a:p>
        <a:p>
          <a:endParaRPr lang="en-IN" sz="1400" b="1"/>
        </a:p>
        <a:p>
          <a:r>
            <a:rPr lang="en-IN" sz="1200" b="1"/>
            <a:t>• </a:t>
          </a:r>
          <a:r>
            <a:rPr lang="en-IN" sz="1400" b="1"/>
            <a:t>Core KPIs &amp; Benchmarks:</a:t>
          </a:r>
        </a:p>
        <a:p>
          <a:r>
            <a:rPr lang="en-IN" sz="1400"/>
            <a:t>  - Revenue &amp; Profit: Total Sales: 195,217.76 | Net Profit: 68,287.01 | Overall Margin: 34.98%.</a:t>
          </a:r>
        </a:p>
        <a:p>
          <a:r>
            <a:rPr lang="en-IN" sz="1400"/>
            <a:t>  - Operational Volume: 1,999 units sold across 200 customer transactions.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Visual &amp; Graphical Analysis:</a:t>
          </a:r>
        </a:p>
        <a:p>
          <a:r>
            <a:rPr lang="en-IN" sz="1400"/>
            <a:t>  - Regional Dynamics (Column Chart): West dominated revenue generation (44,083.58), while Central delivered highest net margin</a:t>
          </a:r>
          <a:r>
            <a:rPr lang="en-IN" sz="1400" baseline="0"/>
            <a:t> </a:t>
          </a:r>
          <a:r>
            <a:rPr lang="en-IN" sz="1400"/>
            <a:t>(16,068.40).</a:t>
          </a:r>
        </a:p>
        <a:p>
          <a:r>
            <a:rPr lang="en-IN" sz="1400"/>
            <a:t>  - Category Share (Bar Chart): Books served as primary volume/sales driver (47,002.46), whereas Clothing yielded top profitability (18,784.49)</a:t>
          </a:r>
        </a:p>
        <a:p>
          <a:r>
            <a:rPr lang="en-IN" sz="1400"/>
            <a:t>  - Trend Trajectory (Line Chart): Tracked monthly performance identifying peak seasonality in September 2024 (20,533.50).</a:t>
          </a:r>
        </a:p>
        <a:p>
          <a:r>
            <a:rPr lang="en-IN" sz="1400"/>
            <a:t>  - Predictive Regression (Scatter Plot): Confirmed a strong direct correlation between sales volume and margin growth (R² = 0.60).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Technical Methods Applied:</a:t>
          </a:r>
        </a:p>
        <a:p>
          <a:r>
            <a:rPr lang="en-IN" sz="1400"/>
            <a:t>  - Dynamic Lookups: INDEX, MATCH, and MAX to isolate high-value customers.</a:t>
          </a:r>
        </a:p>
        <a:p>
          <a:r>
            <a:rPr lang="en-IN" sz="1400"/>
            <a:t>  - Analytics &amp; Modeling: Linear Regression (ToolPak) and What-If Analysis for discount optimization (0%–20%).</a:t>
          </a:r>
        </a:p>
        <a:p>
          <a:r>
            <a:rPr lang="en-IN" sz="1400"/>
            <a:t>  - Presentation Design: Directional format indicators (▲/▼), automated timestamps (NOW()), and clean gridless dashboard layout.</a:t>
          </a:r>
        </a:p>
        <a:p>
          <a:endParaRPr lang="en-IN" sz="1400"/>
        </a:p>
        <a:p>
          <a:r>
            <a:rPr lang="en-IN" sz="1400"/>
            <a:t>• </a:t>
          </a:r>
          <a:r>
            <a:rPr lang="en-IN" sz="1400" b="1"/>
            <a:t>Business Conclusion:</a:t>
          </a:r>
        </a:p>
        <a:p>
          <a:r>
            <a:rPr lang="en-IN" sz="1400"/>
            <a:t>  - Reveals a critical strategic variance between revenue-driving products/regions and true margin contributors, establishing a foundation for targeted pricing and inventory distribution.</a:t>
          </a:r>
          <a:endParaRPr lang="en-IN" sz="12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neep" refreshedDate="46317.477071759298" createdVersion="5" refreshedVersion="5" minRefreshableVersion="3" recordCount="0" xr:uid="{00000000-000A-0000-FFFF-FFFF00000000}">
  <cacheSource type="worksheet">
    <worksheetSource ref="A1:I201" sheet="Dataset"/>
  </cacheSource>
  <cacheFields count="9">
    <cacheField name="Customer_ID" numFmtId="0">
      <sharedItems count="30">
        <s v="CUST019"/>
        <s v="CUST012"/>
        <s v="CUST017"/>
        <s v="CUST005"/>
        <s v="CUST030"/>
        <s v="CUST007"/>
        <s v="CUST001"/>
        <s v="CUST026"/>
        <s v="CUST009"/>
        <s v="CUST010"/>
        <s v="CUST014"/>
        <s v="CUST023"/>
        <s v="CUST029"/>
        <s v="CUST008"/>
        <s v="CUST006"/>
        <s v="CUST022"/>
        <s v="CUST028"/>
        <s v="CUST025"/>
        <s v="CUST021"/>
        <s v="CUST015"/>
        <s v="CUST016"/>
        <s v="CUST011"/>
        <s v="CUST002"/>
        <s v="CUST003"/>
        <s v="CUST020"/>
        <s v="CUST024"/>
        <s v="CUST004"/>
        <s v="CUST013"/>
        <s v="CUST027"/>
        <s v="CUST018"/>
      </sharedItems>
    </cacheField>
    <cacheField name="Customer_Name" numFmtId="0">
      <sharedItems count="27">
        <s v="James Davis"/>
        <s v="Robert Anderson"/>
        <s v="James Taylor"/>
        <s v="James Wilson"/>
        <s v="Michael Anderson"/>
        <s v="Linda Wilson"/>
        <s v="Mary Davis"/>
        <s v="Linda Jackson"/>
        <s v="David Thomas"/>
        <s v="Emma Davis"/>
        <s v="David Smith"/>
        <s v="Sarah Anderson"/>
        <s v="Lisa Thomas"/>
        <s v="Mary Jackson"/>
        <s v="Lisa Davis"/>
        <s v="Linda Brown"/>
        <s v="John Brown"/>
        <s v="Linda Taylor"/>
        <s v="David Brown"/>
        <s v="David Davis"/>
        <s v="Mary Wilson"/>
        <s v="Emma Wilson"/>
        <s v="Linda Davis"/>
        <s v="Sarah Davis"/>
        <s v="Emma Taylor"/>
        <s v="Linda Moore"/>
        <s v="David Anderson"/>
      </sharedItems>
    </cacheField>
    <cacheField name="Region" numFmtId="0">
      <sharedItems count="5">
        <s v="West"/>
        <s v="East"/>
        <s v="South"/>
        <s v="North"/>
        <s v="Central"/>
      </sharedItems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0" maxValue="1923.66" count="200">
        <n v="1036.0899999999999"/>
        <n v="1101.28"/>
        <n v="713.34"/>
        <n v="760.93"/>
        <n v="847"/>
        <n v="965.64"/>
        <n v="1317.53"/>
        <n v="1074.47"/>
        <n v="501.54"/>
        <n v="737.31"/>
        <n v="1572.82"/>
        <n v="1343.13"/>
        <n v="1191.58"/>
        <n v="822.28"/>
        <n v="521.66999999999996"/>
        <n v="1502.93"/>
        <n v="877.58"/>
        <n v="636.70000000000005"/>
        <n v="1506.14"/>
        <n v="645.02"/>
        <n v="953.3"/>
        <n v="388.56"/>
        <n v="743.17"/>
        <n v="706.37"/>
        <n v="925.31"/>
        <n v="1173.1199999999999"/>
        <n v="675.54"/>
        <n v="939.09"/>
        <n v="983.34"/>
        <n v="801.21"/>
        <n v="1450.71"/>
        <n v="1023.21"/>
        <n v="853.72"/>
        <n v="967.89"/>
        <n v="1200.9000000000001"/>
        <n v="472.38"/>
        <n v="840.92"/>
        <n v="1410.06"/>
        <n v="773.09"/>
        <n v="580.42999999999995"/>
        <n v="1151.21"/>
        <n v="1025.98"/>
        <n v="556.41999999999996"/>
        <n v="840.85"/>
        <n v="1227.25"/>
        <n v="856.7"/>
        <n v="1225.42"/>
        <n v="1001.57"/>
        <n v="1186.8499999999999"/>
        <n v="775.45"/>
        <n v="1021.47"/>
        <n v="1226.6199999999999"/>
        <n v="1086.93"/>
        <n v="942.9"/>
        <n v="818.8"/>
        <n v="919.04"/>
        <n v="973.26"/>
        <n v="741.61"/>
        <n v="1248.82"/>
        <n v="1360.36"/>
        <n v="1383.3"/>
        <n v="488.99"/>
        <n v="933.71"/>
        <n v="1005.53"/>
        <n v="1100.0999999999999"/>
        <n v="1034.7"/>
        <n v="876.44"/>
        <n v="1371.34"/>
        <n v="1020.26"/>
        <n v="804.81"/>
        <n v="608.66"/>
        <n v="981.2"/>
        <n v="539.77"/>
        <n v="804.45"/>
        <n v="1526.6"/>
        <n v="1215.26"/>
        <n v="1261.3399999999999"/>
        <n v="518.07000000000005"/>
        <n v="1111.3399999999999"/>
        <n v="1291.47"/>
        <n v="679.71"/>
        <n v="1143.69"/>
        <n v="790.08"/>
        <n v="1070.68"/>
        <n v="1168.8900000000001"/>
        <n v="1335.87"/>
        <n v="873.7"/>
        <n v="1443.98"/>
        <n v="1154.33"/>
        <n v="1264.49"/>
        <n v="1101.55"/>
        <n v="727.73"/>
        <n v="875.41"/>
        <n v="1158.94"/>
        <n v="966.3"/>
        <n v="917.48"/>
        <n v="1172.97"/>
        <n v="1205.82"/>
        <n v="826.93"/>
        <n v="902.19"/>
        <n v="585.97"/>
        <n v="990.19"/>
        <n v="1014.09"/>
        <n v="925.29"/>
        <n v="1286.54"/>
        <n v="961.62"/>
        <n v="1081.1400000000001"/>
        <n v="1923.66"/>
        <n v="728.71"/>
        <n v="1301.8900000000001"/>
        <n v="980.18"/>
        <n v="697.57"/>
        <n v="1193.6099999999999"/>
        <n v="771.02"/>
        <n v="661.09"/>
        <n v="688.83"/>
        <n v="1249.0999999999999"/>
        <n v="1014.22"/>
        <n v="1010.58"/>
        <n v="957.29"/>
        <n v="1077.92"/>
        <n v="1163.01"/>
        <n v="1014.56"/>
        <n v="718.04"/>
        <n v="1277.8499999999999"/>
        <n v="706.73"/>
        <n v="1410.59"/>
        <n v="1350.33"/>
        <n v="919.18"/>
        <n v="258.51"/>
        <n v="1213.48"/>
        <n v="1150.28"/>
        <n v="853.86"/>
        <n v="1061.04"/>
        <n v="894.55"/>
        <n v="833.91"/>
        <n v="820.19"/>
        <n v="511.74"/>
        <n v="806.03"/>
        <n v="1432.47"/>
        <n v="1488.58"/>
        <n v="1231.26"/>
        <n v="1161.67"/>
        <n v="388.23"/>
        <n v="1589.42"/>
        <n v="336.66"/>
        <n v="1353.79"/>
        <n v="662.61"/>
        <n v="309.42"/>
        <n v="884.63"/>
        <n v="745.05"/>
        <n v="870.23"/>
        <n v="862.19"/>
        <n v="1171.18"/>
        <n v="1054.56"/>
        <n v="1681.21"/>
        <n v="379.77"/>
        <n v="1076.33"/>
        <n v="1250.71"/>
        <n v="1118.3399999999999"/>
        <n v="1622.62"/>
        <n v="640.64"/>
        <n v="585.16"/>
        <n v="1109.98"/>
        <n v="1098.08"/>
        <n v="827.25"/>
        <n v="741.88"/>
        <n v="1311.26"/>
        <n v="573.32000000000005"/>
        <n v="1115.22"/>
        <n v="845.84"/>
        <n v="1029.8"/>
        <n v="1189.83"/>
        <n v="704.28"/>
        <n v="1618.22"/>
        <n v="1014.43"/>
        <n v="826.97"/>
        <n v="1022.23"/>
        <n v="1099.69"/>
        <n v="710.52"/>
        <n v="499.18"/>
        <n v="1064.19"/>
        <n v="438.76"/>
        <n v="864.98"/>
        <n v="984.93"/>
        <n v="1493.49"/>
        <n v="689.43"/>
        <n v="682.24"/>
        <n v="458.54"/>
        <n v="1184.25"/>
        <n v="762.14"/>
        <n v="750.71"/>
        <n v="1456.94"/>
        <n v="1093.3800000000001"/>
        <n v="934.27"/>
        <n v="1465.35"/>
        <n v="740.8"/>
        <n v="545.44000000000005"/>
        <n v="997.61"/>
        <n v="928.32"/>
      </sharedItems>
    </cacheField>
    <cacheField name="Quantity" numFmtId="0">
      <sharedItems containsSemiMixedTypes="0" containsString="0" containsNumber="1" containsInteger="1" minValue="0" maxValue="19" count="19">
        <n v="4"/>
        <n v="3"/>
        <n v="17"/>
        <n v="12"/>
        <n v="8"/>
        <n v="6"/>
        <n v="11"/>
        <n v="2"/>
        <n v="14"/>
        <n v="7"/>
        <n v="15"/>
        <n v="10"/>
        <n v="13"/>
        <n v="9"/>
        <n v="18"/>
        <n v="19"/>
        <n v="5"/>
        <n v="1"/>
        <n v="16"/>
      </sharedItems>
    </cacheField>
    <cacheField name="Discount" numFmtId="0">
      <sharedItems containsSemiMixedTypes="0" containsString="0" containsNumber="1" minValue="0" maxValue="0.2" count="5">
        <n v="0.2"/>
        <n v="0"/>
        <n v="0.15"/>
        <n v="0.1"/>
        <n v="0.05"/>
      </sharedItems>
    </cacheField>
    <cacheField name="Order_Date" numFmtId="165">
      <sharedItems containsSemiMixedTypes="0" containsNonDate="0" containsDate="1" containsString="0" minDate="2024-04-10T00:00:00" maxDate="2025-04-07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</cacheField>
    <cacheField name="Profit" numFmtId="0">
      <sharedItems containsSemiMixedTypes="0" containsString="0" containsNumber="1" minValue="0" maxValue="769.46" count="200">
        <n v="331.55"/>
        <n v="440.51"/>
        <n v="285.33999999999997"/>
        <n v="161.69999999999999"/>
        <n v="271.04000000000002"/>
        <n v="304.18"/>
        <n v="312.91000000000003"/>
        <n v="300.85000000000002"/>
        <n v="190.59"/>
        <n v="350.22"/>
        <n v="672.38"/>
        <n v="456.66"/>
        <n v="452.8"/>
        <n v="273.41000000000003"/>
        <n v="155.19999999999999"/>
        <n v="300.58999999999997"/>
        <n v="298.38"/>
        <n v="203.74"/>
        <n v="481.96"/>
        <n v="161.26"/>
        <n v="476.65"/>
        <n v="82.57"/>
        <n v="297.27"/>
        <n v="176.59"/>
        <n v="374.75"/>
        <n v="293.27999999999997"/>
        <n v="236.44"/>
        <n v="356.85"/>
        <n v="398.25"/>
        <n v="160.24"/>
        <n v="326.41000000000003"/>
        <n v="388.82"/>
        <n v="253.98"/>
        <n v="217.78"/>
        <n v="513.38"/>
        <n v="151.16"/>
        <n v="359.49"/>
        <n v="468.84"/>
        <n v="229.99"/>
        <n v="197.35"/>
        <n v="414.44"/>
        <n v="369.35"/>
        <n v="212.83"/>
        <n v="302.70999999999998"/>
        <n v="365.11"/>
        <n v="214.18"/>
        <n v="468.72"/>
        <n v="450.71"/>
        <n v="332.32"/>
        <n v="174.48"/>
        <n v="242.6"/>
        <n v="551.98"/>
        <n v="380.43"/>
        <n v="339.44"/>
        <n v="173.99"/>
        <n v="257.33"/>
        <n v="389.3"/>
        <n v="148.32"/>
        <n v="449.58"/>
        <n v="680.18"/>
        <n v="497.99"/>
        <n v="220.05"/>
        <n v="294.12"/>
        <n v="201.11"/>
        <n v="261.27"/>
        <n v="307.82"/>
        <n v="333.05"/>
        <n v="455.97"/>
        <n v="242.31"/>
        <n v="344.06"/>
        <n v="144.56"/>
        <n v="441.54"/>
        <n v="114.7"/>
        <n v="257.42"/>
        <n v="305.32"/>
        <n v="258.24"/>
        <n v="441.47"/>
        <n v="172.26"/>
        <n v="500.1"/>
        <n v="581.16"/>
        <n v="271.88"/>
        <n v="400.29"/>
        <n v="177.77"/>
        <n v="406.86"/>
        <n v="526"/>
        <n v="333.97"/>
        <n v="305.8"/>
        <n v="649.79"/>
        <n v="441.53"/>
        <n v="480.51"/>
        <n v="346.99"/>
        <n v="229.23"/>
        <n v="334.84"/>
        <n v="231.79"/>
        <n v="328.54"/>
        <n v="366.99"/>
        <n v="348.96"/>
        <n v="542.62"/>
        <n v="297.69"/>
        <n v="451.1"/>
        <n v="210.95"/>
        <n v="445.59"/>
        <n v="202.82"/>
        <n v="231.32"/>
        <n v="450.29"/>
        <n v="307.72000000000003"/>
        <n v="367.59"/>
        <n v="769.46"/>
        <n v="327.92"/>
        <n v="553.29999999999995"/>
        <n v="352.86"/>
        <n v="313.91000000000003"/>
        <n v="355.1"/>
        <n v="192.76"/>
        <n v="264.44"/>
        <n v="172.21"/>
        <n v="474.66"/>
        <n v="433.58"/>
        <n v="343.6"/>
        <n v="318.3"/>
        <n v="358.41"/>
        <n v="581.5"/>
        <n v="410.9"/>
        <n v="179.51"/>
        <n v="511.14"/>
        <n v="150.18"/>
        <n v="352.65"/>
        <n v="472.62"/>
        <n v="195.33"/>
        <n v="64.63"/>
        <n v="461.12"/>
        <n v="437.11"/>
        <n v="268.97000000000003"/>
        <n v="265.26"/>
        <n v="178.91"/>
        <n v="356.5"/>
        <n v="229.65"/>
        <n v="121.54"/>
        <n v="268"/>
        <n v="426.16"/>
        <n v="316.32"/>
        <n v="492.5"/>
        <n v="232.33"/>
        <n v="165.97"/>
        <n v="675.5"/>
        <n v="134.66"/>
        <n v="487.36"/>
        <n v="314.74"/>
        <n v="111.39"/>
        <n v="318.47000000000003"/>
        <n v="301.75"/>
        <n v="413.36"/>
        <n v="286.68"/>
        <n v="556.30999999999995"/>
        <n v="332.19"/>
        <n v="336.24"/>
        <n v="180.39"/>
        <n v="484.35"/>
        <n v="562.82000000000005"/>
        <n v="447.34"/>
        <n v="649.04999999999995"/>
        <n v="205"/>
        <n v="263.32"/>
        <n v="443.99"/>
        <n v="395.31"/>
        <n v="335.04"/>
        <n v="333.85"/>
        <n v="531.05999999999995"/>
        <n v="232.19"/>
        <n v="223.04"/>
        <n v="422.92"/>
        <n v="257.45"/>
        <n v="380.75"/>
        <n v="225.37"/>
        <n v="582.55999999999995"/>
        <n v="344.91"/>
        <n v="330.79"/>
        <n v="460"/>
        <n v="439.88"/>
        <n v="255.79"/>
        <n v="159.74"/>
        <n v="404.39"/>
        <n v="187.57"/>
        <n v="410.87"/>
        <n v="275.77999999999997"/>
        <n v="746.74"/>
        <n v="310.24"/>
        <n v="341.12"/>
        <n v="91.71"/>
        <n v="331.59"/>
        <n v="381.07"/>
        <n v="255.24"/>
        <n v="692.05"/>
        <n v="344.41"/>
        <n v="397.06"/>
        <n v="586.14"/>
        <n v="333.36"/>
        <n v="245.45"/>
        <n v="379.09"/>
        <n v="440.9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1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 chartFormat="4">
  <location ref="A3:G10" firstHeaderRow="1" firstDataRow="2" firstDataCol="1"/>
  <pivotFields count="9">
    <pivotField compact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showAll="0"/>
    <pivotField axis="axisRow" compact="0" showAll="0">
      <items count="6">
        <item x="4"/>
        <item x="1"/>
        <item x="3"/>
        <item x="2"/>
        <item x="0"/>
        <item t="default"/>
      </items>
    </pivotField>
    <pivotField axis="axisCol" compact="0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compact="0" showAll="0"/>
    <pivotField compact="0" showAll="0"/>
    <pivotField compact="0" numFmtId="165" showAll="0"/>
    <pivotField compact="0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Sales" fld="4" baseField="0" baseItem="0"/>
  </dataFields>
  <formats count="6">
    <format dxfId="7">
      <pivotArea type="origin" dataOnly="0" labelOnly="1" outline="0" fieldPosition="0"/>
    </format>
    <format dxfId="6">
      <pivotArea field="3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2" type="button" dataOnly="0" labelOnly="1" outline="0" axis="axisRow" fieldPosition="0"/>
    </format>
    <format dxfId="3">
      <pivotArea dataOnly="0" labelOnly="1" outline="0" fieldPosition="0">
        <references count="1">
          <reference field="3" count="0"/>
        </references>
      </pivotArea>
    </format>
    <format dxfId="2">
      <pivotArea dataOnly="0" labelOnly="1" grandCol="1" outline="0" fieldPosition="0"/>
    </format>
  </format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A21:B27" firstHeaderRow="1" firstDataRow="1" firstDataCol="1"/>
  <pivotFields count="9">
    <pivotField compact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showAll="0"/>
    <pivotField compact="0" showAll="0"/>
    <pivotField axis="axisRow" compact="0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201">
        <item x="129"/>
        <item x="148"/>
        <item x="145"/>
        <item x="156"/>
        <item x="143"/>
        <item x="21"/>
        <item x="182"/>
        <item x="188"/>
        <item x="35"/>
        <item x="61"/>
        <item x="180"/>
        <item x="8"/>
        <item x="137"/>
        <item x="77"/>
        <item x="14"/>
        <item x="72"/>
        <item x="197"/>
        <item x="42"/>
        <item x="168"/>
        <item x="39"/>
        <item x="162"/>
        <item x="100"/>
        <item x="70"/>
        <item x="17"/>
        <item x="161"/>
        <item x="19"/>
        <item x="114"/>
        <item x="147"/>
        <item x="26"/>
        <item x="80"/>
        <item x="187"/>
        <item x="115"/>
        <item x="186"/>
        <item x="111"/>
        <item x="173"/>
        <item x="23"/>
        <item x="125"/>
        <item x="179"/>
        <item x="2"/>
        <item x="123"/>
        <item x="91"/>
        <item x="108"/>
        <item x="9"/>
        <item x="196"/>
        <item x="57"/>
        <item x="166"/>
        <item x="22"/>
        <item x="150"/>
        <item x="191"/>
        <item x="3"/>
        <item x="190"/>
        <item x="113"/>
        <item x="38"/>
        <item x="49"/>
        <item x="82"/>
        <item x="29"/>
        <item x="73"/>
        <item x="69"/>
        <item x="138"/>
        <item x="54"/>
        <item x="136"/>
        <item x="13"/>
        <item x="98"/>
        <item x="176"/>
        <item x="165"/>
        <item x="135"/>
        <item x="43"/>
        <item x="36"/>
        <item x="170"/>
        <item x="4"/>
        <item x="32"/>
        <item x="132"/>
        <item x="45"/>
        <item x="152"/>
        <item x="183"/>
        <item x="151"/>
        <item x="86"/>
        <item x="92"/>
        <item x="66"/>
        <item x="16"/>
        <item x="149"/>
        <item x="134"/>
        <item x="99"/>
        <item x="95"/>
        <item x="55"/>
        <item x="128"/>
        <item x="103"/>
        <item x="24"/>
        <item x="199"/>
        <item x="62"/>
        <item x="194"/>
        <item x="27"/>
        <item x="53"/>
        <item x="20"/>
        <item x="119"/>
        <item x="105"/>
        <item x="5"/>
        <item x="94"/>
        <item x="33"/>
        <item x="56"/>
        <item x="110"/>
        <item x="71"/>
        <item x="28"/>
        <item x="184"/>
        <item x="101"/>
        <item x="198"/>
        <item x="47"/>
        <item x="63"/>
        <item x="118"/>
        <item x="102"/>
        <item x="117"/>
        <item x="175"/>
        <item x="122"/>
        <item x="68"/>
        <item x="50"/>
        <item x="177"/>
        <item x="31"/>
        <item x="41"/>
        <item x="171"/>
        <item x="65"/>
        <item x="0"/>
        <item x="154"/>
        <item x="133"/>
        <item x="181"/>
        <item x="83"/>
        <item x="7"/>
        <item x="157"/>
        <item x="120"/>
        <item x="106"/>
        <item x="52"/>
        <item x="193"/>
        <item x="164"/>
        <item x="178"/>
        <item x="64"/>
        <item x="1"/>
        <item x="90"/>
        <item x="163"/>
        <item x="78"/>
        <item x="169"/>
        <item x="159"/>
        <item x="81"/>
        <item x="131"/>
        <item x="40"/>
        <item x="88"/>
        <item x="93"/>
        <item x="142"/>
        <item x="121"/>
        <item x="84"/>
        <item x="153"/>
        <item x="96"/>
        <item x="25"/>
        <item x="189"/>
        <item x="48"/>
        <item x="172"/>
        <item x="12"/>
        <item x="112"/>
        <item x="34"/>
        <item x="97"/>
        <item x="130"/>
        <item x="75"/>
        <item x="46"/>
        <item x="51"/>
        <item x="44"/>
        <item x="141"/>
        <item x="58"/>
        <item x="116"/>
        <item x="158"/>
        <item x="76"/>
        <item x="89"/>
        <item x="124"/>
        <item x="104"/>
        <item x="79"/>
        <item x="109"/>
        <item x="167"/>
        <item x="6"/>
        <item x="85"/>
        <item x="11"/>
        <item x="127"/>
        <item x="146"/>
        <item x="59"/>
        <item x="67"/>
        <item x="60"/>
        <item x="37"/>
        <item x="126"/>
        <item x="139"/>
        <item x="87"/>
        <item x="30"/>
        <item x="192"/>
        <item x="195"/>
        <item x="140"/>
        <item x="185"/>
        <item x="15"/>
        <item x="18"/>
        <item x="74"/>
        <item x="10"/>
        <item x="144"/>
        <item x="174"/>
        <item x="160"/>
        <item x="155"/>
        <item x="107"/>
        <item t="default"/>
      </items>
    </pivotField>
    <pivotField compact="0" showAll="0"/>
    <pivotField compact="0" showAll="0"/>
    <pivotField compact="0" numFmtId="165" showAll="0"/>
    <pivotField compact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formats count="2">
    <format dxfId="9">
      <pivotArea field="3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1"/>
  <sheetViews>
    <sheetView workbookViewId="0">
      <selection activeCell="L14" sqref="L14"/>
    </sheetView>
  </sheetViews>
  <sheetFormatPr defaultColWidth="9" defaultRowHeight="14.4"/>
  <cols>
    <col min="1" max="1" width="11.88671875" customWidth="1"/>
    <col min="2" max="2" width="15.6640625" customWidth="1"/>
    <col min="3" max="3" width="6.88671875" customWidth="1"/>
    <col min="4" max="4" width="16.33203125" customWidth="1"/>
    <col min="5" max="5" width="7.5546875" customWidth="1"/>
    <col min="6" max="7" width="8.33203125" customWidth="1"/>
    <col min="8" max="8" width="11.109375" customWidth="1"/>
    <col min="9" max="9" width="6.5546875" customWidth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>
      <c r="A2" s="5" t="s">
        <v>9</v>
      </c>
      <c r="B2" s="5" t="s">
        <v>10</v>
      </c>
      <c r="C2" s="5" t="s">
        <v>11</v>
      </c>
      <c r="D2" s="5" t="s">
        <v>12</v>
      </c>
      <c r="E2" s="6">
        <v>1036.0899999999999</v>
      </c>
      <c r="F2" s="6">
        <v>4</v>
      </c>
      <c r="G2" s="6">
        <v>0.2</v>
      </c>
      <c r="H2" s="7">
        <v>45392</v>
      </c>
      <c r="I2" s="6">
        <v>331.55</v>
      </c>
    </row>
    <row r="3" spans="1:9">
      <c r="A3" s="5" t="s">
        <v>13</v>
      </c>
      <c r="B3" s="5" t="s">
        <v>14</v>
      </c>
      <c r="C3" s="5" t="s">
        <v>11</v>
      </c>
      <c r="D3" s="5" t="s">
        <v>15</v>
      </c>
      <c r="E3" s="6">
        <v>1101.28</v>
      </c>
      <c r="F3" s="6">
        <v>3</v>
      </c>
      <c r="G3" s="6">
        <v>0.2</v>
      </c>
      <c r="H3" s="7">
        <v>45393</v>
      </c>
      <c r="I3" s="6">
        <v>440.51</v>
      </c>
    </row>
    <row r="4" spans="1:9">
      <c r="A4" s="5" t="s">
        <v>16</v>
      </c>
      <c r="B4" s="5" t="s">
        <v>17</v>
      </c>
      <c r="C4" s="5" t="s">
        <v>18</v>
      </c>
      <c r="D4" s="5" t="s">
        <v>12</v>
      </c>
      <c r="E4" s="6">
        <v>713.34</v>
      </c>
      <c r="F4" s="6">
        <v>17</v>
      </c>
      <c r="G4" s="6">
        <v>0</v>
      </c>
      <c r="H4" s="7">
        <v>45396</v>
      </c>
      <c r="I4" s="6">
        <v>285.33999999999997</v>
      </c>
    </row>
    <row r="5" spans="1:9">
      <c r="A5" s="5" t="s">
        <v>19</v>
      </c>
      <c r="B5" s="5" t="s">
        <v>14</v>
      </c>
      <c r="C5" s="5" t="s">
        <v>20</v>
      </c>
      <c r="D5" s="5" t="s">
        <v>21</v>
      </c>
      <c r="E5" s="6">
        <v>760.93</v>
      </c>
      <c r="F5" s="6">
        <v>4</v>
      </c>
      <c r="G5" s="6">
        <v>0.15</v>
      </c>
      <c r="H5" s="7">
        <v>45396</v>
      </c>
      <c r="I5" s="6">
        <v>161.69999999999999</v>
      </c>
    </row>
    <row r="6" spans="1:9">
      <c r="A6" s="5" t="s">
        <v>22</v>
      </c>
      <c r="B6" s="5" t="s">
        <v>23</v>
      </c>
      <c r="C6" s="5" t="s">
        <v>24</v>
      </c>
      <c r="D6" s="5" t="s">
        <v>12</v>
      </c>
      <c r="E6" s="6">
        <v>847</v>
      </c>
      <c r="F6" s="6">
        <v>12</v>
      </c>
      <c r="G6" s="6">
        <v>0.2</v>
      </c>
      <c r="H6" s="7">
        <v>45397</v>
      </c>
      <c r="I6" s="6">
        <v>271.04000000000002</v>
      </c>
    </row>
    <row r="7" spans="1:9">
      <c r="A7" s="5" t="s">
        <v>25</v>
      </c>
      <c r="B7" s="5" t="s">
        <v>26</v>
      </c>
      <c r="C7" s="5" t="s">
        <v>24</v>
      </c>
      <c r="D7" s="5" t="s">
        <v>27</v>
      </c>
      <c r="E7" s="6">
        <v>965.64</v>
      </c>
      <c r="F7" s="6">
        <v>8</v>
      </c>
      <c r="G7" s="6">
        <v>0.1</v>
      </c>
      <c r="H7" s="7">
        <v>45398</v>
      </c>
      <c r="I7" s="6">
        <v>304.18</v>
      </c>
    </row>
    <row r="8" spans="1:9">
      <c r="A8" s="5" t="s">
        <v>28</v>
      </c>
      <c r="B8" s="5" t="s">
        <v>29</v>
      </c>
      <c r="C8" s="5" t="s">
        <v>11</v>
      </c>
      <c r="D8" s="5" t="s">
        <v>21</v>
      </c>
      <c r="E8" s="6">
        <v>1317.53</v>
      </c>
      <c r="F8" s="6">
        <v>12</v>
      </c>
      <c r="G8" s="6">
        <v>0.05</v>
      </c>
      <c r="H8" s="7">
        <v>45398</v>
      </c>
      <c r="I8" s="6">
        <v>312.91000000000003</v>
      </c>
    </row>
    <row r="9" spans="1:9">
      <c r="A9" s="5" t="s">
        <v>30</v>
      </c>
      <c r="B9" s="5" t="s">
        <v>31</v>
      </c>
      <c r="C9" s="5" t="s">
        <v>18</v>
      </c>
      <c r="D9" s="5" t="s">
        <v>27</v>
      </c>
      <c r="E9" s="6">
        <v>1074.47</v>
      </c>
      <c r="F9" s="6">
        <v>6</v>
      </c>
      <c r="G9" s="6">
        <v>0.2</v>
      </c>
      <c r="H9" s="7">
        <v>45401</v>
      </c>
      <c r="I9" s="6">
        <v>300.85000000000002</v>
      </c>
    </row>
    <row r="10" spans="1:9">
      <c r="A10" s="5" t="s">
        <v>32</v>
      </c>
      <c r="B10" s="5" t="s">
        <v>33</v>
      </c>
      <c r="C10" s="5" t="s">
        <v>34</v>
      </c>
      <c r="D10" s="5" t="s">
        <v>12</v>
      </c>
      <c r="E10" s="6">
        <v>501.54</v>
      </c>
      <c r="F10" s="6">
        <v>11</v>
      </c>
      <c r="G10" s="6">
        <v>0.05</v>
      </c>
      <c r="H10" s="7">
        <v>45401</v>
      </c>
      <c r="I10" s="6">
        <v>190.59</v>
      </c>
    </row>
    <row r="11" spans="1:9">
      <c r="A11" s="5" t="s">
        <v>35</v>
      </c>
      <c r="B11" s="5" t="s">
        <v>36</v>
      </c>
      <c r="C11" s="5" t="s">
        <v>34</v>
      </c>
      <c r="D11" s="5" t="s">
        <v>15</v>
      </c>
      <c r="E11" s="6">
        <v>737.31</v>
      </c>
      <c r="F11" s="6">
        <v>2</v>
      </c>
      <c r="G11" s="6">
        <v>0.05</v>
      </c>
      <c r="H11" s="7">
        <v>45401</v>
      </c>
      <c r="I11" s="6">
        <v>350.22</v>
      </c>
    </row>
    <row r="12" spans="1:9">
      <c r="A12" s="5" t="s">
        <v>37</v>
      </c>
      <c r="B12" s="5" t="s">
        <v>38</v>
      </c>
      <c r="C12" s="5" t="s">
        <v>11</v>
      </c>
      <c r="D12" s="5" t="s">
        <v>39</v>
      </c>
      <c r="E12" s="6">
        <v>1572.82</v>
      </c>
      <c r="F12" s="6">
        <v>6</v>
      </c>
      <c r="G12" s="6">
        <v>0.05</v>
      </c>
      <c r="H12" s="7">
        <v>45402</v>
      </c>
      <c r="I12" s="6">
        <v>672.38</v>
      </c>
    </row>
    <row r="13" spans="1:9">
      <c r="A13" s="5" t="s">
        <v>37</v>
      </c>
      <c r="B13" s="5" t="s">
        <v>36</v>
      </c>
      <c r="C13" s="5" t="s">
        <v>34</v>
      </c>
      <c r="D13" s="5" t="s">
        <v>12</v>
      </c>
      <c r="E13" s="6">
        <v>1343.13</v>
      </c>
      <c r="F13" s="6">
        <v>14</v>
      </c>
      <c r="G13" s="6">
        <v>0.15</v>
      </c>
      <c r="H13" s="7">
        <v>45404</v>
      </c>
      <c r="I13" s="6">
        <v>456.66</v>
      </c>
    </row>
    <row r="14" spans="1:9">
      <c r="A14" s="5" t="s">
        <v>25</v>
      </c>
      <c r="B14" s="5" t="s">
        <v>26</v>
      </c>
      <c r="C14" s="5" t="s">
        <v>34</v>
      </c>
      <c r="D14" s="5" t="s">
        <v>12</v>
      </c>
      <c r="E14" s="6">
        <v>1191.58</v>
      </c>
      <c r="F14" s="6">
        <v>14</v>
      </c>
      <c r="G14" s="6">
        <v>0.05</v>
      </c>
      <c r="H14" s="7">
        <v>45406</v>
      </c>
      <c r="I14" s="6">
        <v>452.8</v>
      </c>
    </row>
    <row r="15" spans="1:9">
      <c r="A15" s="5" t="s">
        <v>40</v>
      </c>
      <c r="B15" s="5" t="s">
        <v>14</v>
      </c>
      <c r="C15" s="5" t="s">
        <v>11</v>
      </c>
      <c r="D15" s="5" t="s">
        <v>27</v>
      </c>
      <c r="E15" s="6">
        <v>822.28</v>
      </c>
      <c r="F15" s="6">
        <v>7</v>
      </c>
      <c r="G15" s="6">
        <v>0.05</v>
      </c>
      <c r="H15" s="7">
        <v>45406</v>
      </c>
      <c r="I15" s="6">
        <v>273.41000000000003</v>
      </c>
    </row>
    <row r="16" spans="1:9">
      <c r="A16" s="5" t="s">
        <v>41</v>
      </c>
      <c r="B16" s="5" t="s">
        <v>42</v>
      </c>
      <c r="C16" s="5" t="s">
        <v>24</v>
      </c>
      <c r="D16" s="5" t="s">
        <v>27</v>
      </c>
      <c r="E16" s="6">
        <v>521.66999999999996</v>
      </c>
      <c r="F16" s="6">
        <v>15</v>
      </c>
      <c r="G16" s="6">
        <v>0.15</v>
      </c>
      <c r="H16" s="7">
        <v>45409</v>
      </c>
      <c r="I16" s="6">
        <v>155.19999999999999</v>
      </c>
    </row>
    <row r="17" spans="1:9">
      <c r="A17" s="5" t="s">
        <v>19</v>
      </c>
      <c r="B17" s="5" t="s">
        <v>43</v>
      </c>
      <c r="C17" s="5" t="s">
        <v>20</v>
      </c>
      <c r="D17" s="5" t="s">
        <v>21</v>
      </c>
      <c r="E17" s="6">
        <v>1502.93</v>
      </c>
      <c r="F17" s="6">
        <v>14</v>
      </c>
      <c r="G17" s="6">
        <v>0.2</v>
      </c>
      <c r="H17" s="7">
        <v>45410</v>
      </c>
      <c r="I17" s="6">
        <v>300.58999999999997</v>
      </c>
    </row>
    <row r="18" spans="1:9">
      <c r="A18" s="5" t="s">
        <v>44</v>
      </c>
      <c r="B18" s="5" t="s">
        <v>14</v>
      </c>
      <c r="C18" s="5" t="s">
        <v>20</v>
      </c>
      <c r="D18" s="5" t="s">
        <v>12</v>
      </c>
      <c r="E18" s="6">
        <v>877.58</v>
      </c>
      <c r="F18" s="6">
        <v>10</v>
      </c>
      <c r="G18" s="6">
        <v>0.15</v>
      </c>
      <c r="H18" s="7">
        <v>45411</v>
      </c>
      <c r="I18" s="6">
        <v>298.38</v>
      </c>
    </row>
    <row r="19" spans="1:9">
      <c r="A19" s="5" t="s">
        <v>28</v>
      </c>
      <c r="B19" s="5" t="s">
        <v>45</v>
      </c>
      <c r="C19" s="5" t="s">
        <v>11</v>
      </c>
      <c r="D19" s="5" t="s">
        <v>12</v>
      </c>
      <c r="E19" s="6">
        <v>636.70000000000005</v>
      </c>
      <c r="F19" s="6">
        <v>4</v>
      </c>
      <c r="G19" s="6">
        <v>0.2</v>
      </c>
      <c r="H19" s="7">
        <v>45411</v>
      </c>
      <c r="I19" s="6">
        <v>203.74</v>
      </c>
    </row>
    <row r="20" spans="1:9">
      <c r="A20" s="5" t="s">
        <v>46</v>
      </c>
      <c r="B20" s="5" t="s">
        <v>47</v>
      </c>
      <c r="C20" s="5" t="s">
        <v>11</v>
      </c>
      <c r="D20" s="5" t="s">
        <v>12</v>
      </c>
      <c r="E20" s="6">
        <v>1506.14</v>
      </c>
      <c r="F20" s="6">
        <v>13</v>
      </c>
      <c r="G20" s="6">
        <v>0.2</v>
      </c>
      <c r="H20" s="7">
        <v>45412</v>
      </c>
      <c r="I20" s="6">
        <v>481.96</v>
      </c>
    </row>
    <row r="21" spans="1:9">
      <c r="A21" s="5" t="s">
        <v>30</v>
      </c>
      <c r="B21" s="5" t="s">
        <v>31</v>
      </c>
      <c r="C21" s="5" t="s">
        <v>34</v>
      </c>
      <c r="D21" s="5" t="s">
        <v>21</v>
      </c>
      <c r="E21" s="6">
        <v>645.02</v>
      </c>
      <c r="F21" s="6">
        <v>4</v>
      </c>
      <c r="G21" s="6">
        <v>0</v>
      </c>
      <c r="H21" s="7">
        <v>45414</v>
      </c>
      <c r="I21" s="6">
        <v>161.26</v>
      </c>
    </row>
    <row r="22" spans="1:9">
      <c r="A22" s="5" t="s">
        <v>25</v>
      </c>
      <c r="B22" s="5" t="s">
        <v>48</v>
      </c>
      <c r="C22" s="5" t="s">
        <v>20</v>
      </c>
      <c r="D22" s="5" t="s">
        <v>15</v>
      </c>
      <c r="E22" s="6">
        <v>953.3</v>
      </c>
      <c r="F22" s="6">
        <v>11</v>
      </c>
      <c r="G22" s="6">
        <v>0</v>
      </c>
      <c r="H22" s="7">
        <v>45415</v>
      </c>
      <c r="I22" s="6">
        <v>476.65</v>
      </c>
    </row>
    <row r="23" spans="1:9">
      <c r="A23" s="5" t="s">
        <v>49</v>
      </c>
      <c r="B23" s="5" t="s">
        <v>14</v>
      </c>
      <c r="C23" s="5" t="s">
        <v>24</v>
      </c>
      <c r="D23" s="5" t="s">
        <v>21</v>
      </c>
      <c r="E23" s="6">
        <v>388.56</v>
      </c>
      <c r="F23" s="6">
        <v>14</v>
      </c>
      <c r="G23" s="6">
        <v>0.15</v>
      </c>
      <c r="H23" s="7">
        <v>45416</v>
      </c>
      <c r="I23" s="6">
        <v>82.57</v>
      </c>
    </row>
    <row r="24" spans="1:9">
      <c r="A24" s="5" t="s">
        <v>9</v>
      </c>
      <c r="B24" s="5" t="s">
        <v>31</v>
      </c>
      <c r="C24" s="5" t="s">
        <v>11</v>
      </c>
      <c r="D24" s="5" t="s">
        <v>12</v>
      </c>
      <c r="E24" s="6">
        <v>743.17</v>
      </c>
      <c r="F24" s="6">
        <v>9</v>
      </c>
      <c r="G24" s="6">
        <v>0</v>
      </c>
      <c r="H24" s="7">
        <v>45416</v>
      </c>
      <c r="I24" s="6">
        <v>297.27</v>
      </c>
    </row>
    <row r="25" spans="1:9">
      <c r="A25" s="5" t="s">
        <v>40</v>
      </c>
      <c r="B25" s="5" t="s">
        <v>31</v>
      </c>
      <c r="C25" s="5" t="s">
        <v>34</v>
      </c>
      <c r="D25" s="5" t="s">
        <v>21</v>
      </c>
      <c r="E25" s="6">
        <v>706.37</v>
      </c>
      <c r="F25" s="6">
        <v>6</v>
      </c>
      <c r="G25" s="6">
        <v>0</v>
      </c>
      <c r="H25" s="7">
        <v>45416</v>
      </c>
      <c r="I25" s="6">
        <v>176.59</v>
      </c>
    </row>
    <row r="26" spans="1:9">
      <c r="A26" s="5" t="s">
        <v>13</v>
      </c>
      <c r="B26" s="5" t="s">
        <v>31</v>
      </c>
      <c r="C26" s="5" t="s">
        <v>34</v>
      </c>
      <c r="D26" s="5" t="s">
        <v>39</v>
      </c>
      <c r="E26" s="6">
        <v>925.31</v>
      </c>
      <c r="F26" s="6">
        <v>8</v>
      </c>
      <c r="G26" s="6">
        <v>0.1</v>
      </c>
      <c r="H26" s="7">
        <v>45418</v>
      </c>
      <c r="I26" s="6">
        <v>374.75</v>
      </c>
    </row>
    <row r="27" spans="1:9">
      <c r="A27" s="5" t="s">
        <v>35</v>
      </c>
      <c r="B27" s="5" t="s">
        <v>50</v>
      </c>
      <c r="C27" s="5" t="s">
        <v>20</v>
      </c>
      <c r="D27" s="5" t="s">
        <v>21</v>
      </c>
      <c r="E27" s="6">
        <v>1173.1199999999999</v>
      </c>
      <c r="F27" s="6">
        <v>18</v>
      </c>
      <c r="G27" s="6">
        <v>0</v>
      </c>
      <c r="H27" s="7">
        <v>45418</v>
      </c>
      <c r="I27" s="6">
        <v>293.27999999999997</v>
      </c>
    </row>
    <row r="28" spans="1:9">
      <c r="A28" s="5" t="s">
        <v>22</v>
      </c>
      <c r="B28" s="5" t="s">
        <v>51</v>
      </c>
      <c r="C28" s="5" t="s">
        <v>24</v>
      </c>
      <c r="D28" s="5" t="s">
        <v>27</v>
      </c>
      <c r="E28" s="6">
        <v>675.54</v>
      </c>
      <c r="F28" s="6">
        <v>17</v>
      </c>
      <c r="G28" s="6">
        <v>0</v>
      </c>
      <c r="H28" s="7">
        <v>45420</v>
      </c>
      <c r="I28" s="6">
        <v>236.44</v>
      </c>
    </row>
    <row r="29" spans="1:9">
      <c r="A29" s="5" t="s">
        <v>25</v>
      </c>
      <c r="B29" s="5" t="s">
        <v>14</v>
      </c>
      <c r="C29" s="5" t="s">
        <v>34</v>
      </c>
      <c r="D29" s="5" t="s">
        <v>12</v>
      </c>
      <c r="E29" s="6">
        <v>939.09</v>
      </c>
      <c r="F29" s="6">
        <v>2</v>
      </c>
      <c r="G29" s="6">
        <v>0.05</v>
      </c>
      <c r="H29" s="7">
        <v>45422</v>
      </c>
      <c r="I29" s="6">
        <v>356.85</v>
      </c>
    </row>
    <row r="30" spans="1:9">
      <c r="A30" s="5" t="s">
        <v>52</v>
      </c>
      <c r="B30" s="5" t="s">
        <v>53</v>
      </c>
      <c r="C30" s="5" t="s">
        <v>18</v>
      </c>
      <c r="D30" s="5" t="s">
        <v>39</v>
      </c>
      <c r="E30" s="6">
        <v>983.34</v>
      </c>
      <c r="F30" s="6">
        <v>19</v>
      </c>
      <c r="G30" s="6">
        <v>0.1</v>
      </c>
      <c r="H30" s="7">
        <v>45426</v>
      </c>
      <c r="I30" s="6">
        <v>398.25</v>
      </c>
    </row>
    <row r="31" spans="1:9">
      <c r="A31" s="5" t="s">
        <v>52</v>
      </c>
      <c r="B31" s="5" t="s">
        <v>23</v>
      </c>
      <c r="C31" s="5" t="s">
        <v>20</v>
      </c>
      <c r="D31" s="5" t="s">
        <v>21</v>
      </c>
      <c r="E31" s="6">
        <v>801.21</v>
      </c>
      <c r="F31" s="6">
        <v>3</v>
      </c>
      <c r="G31" s="6">
        <v>0.2</v>
      </c>
      <c r="H31" s="7">
        <v>45426</v>
      </c>
      <c r="I31" s="6">
        <v>160.24</v>
      </c>
    </row>
    <row r="32" spans="1:9">
      <c r="A32" s="5" t="s">
        <v>54</v>
      </c>
      <c r="B32" s="5" t="s">
        <v>55</v>
      </c>
      <c r="C32" s="5" t="s">
        <v>24</v>
      </c>
      <c r="D32" s="5" t="s">
        <v>21</v>
      </c>
      <c r="E32" s="6">
        <v>1450.71</v>
      </c>
      <c r="F32" s="6">
        <v>5</v>
      </c>
      <c r="G32" s="6">
        <v>0.1</v>
      </c>
      <c r="H32" s="7">
        <v>45427</v>
      </c>
      <c r="I32" s="6">
        <v>326.41000000000003</v>
      </c>
    </row>
    <row r="33" spans="1:9">
      <c r="A33" s="5" t="s">
        <v>49</v>
      </c>
      <c r="B33" s="5" t="s">
        <v>56</v>
      </c>
      <c r="C33" s="5" t="s">
        <v>34</v>
      </c>
      <c r="D33" s="5" t="s">
        <v>12</v>
      </c>
      <c r="E33" s="6">
        <v>1023.21</v>
      </c>
      <c r="F33" s="6">
        <v>18</v>
      </c>
      <c r="G33" s="6">
        <v>0.05</v>
      </c>
      <c r="H33" s="7">
        <v>45428</v>
      </c>
      <c r="I33" s="6">
        <v>388.82</v>
      </c>
    </row>
    <row r="34" spans="1:9">
      <c r="A34" s="5" t="s">
        <v>28</v>
      </c>
      <c r="B34" s="5" t="s">
        <v>47</v>
      </c>
      <c r="C34" s="5" t="s">
        <v>11</v>
      </c>
      <c r="D34" s="5" t="s">
        <v>27</v>
      </c>
      <c r="E34" s="6">
        <v>853.72</v>
      </c>
      <c r="F34" s="6">
        <v>5</v>
      </c>
      <c r="G34" s="6">
        <v>0.15</v>
      </c>
      <c r="H34" s="7">
        <v>45428</v>
      </c>
      <c r="I34" s="6">
        <v>253.98</v>
      </c>
    </row>
    <row r="35" spans="1:9">
      <c r="A35" s="5" t="s">
        <v>57</v>
      </c>
      <c r="B35" s="5" t="s">
        <v>43</v>
      </c>
      <c r="C35" s="5" t="s">
        <v>20</v>
      </c>
      <c r="D35" s="5" t="s">
        <v>21</v>
      </c>
      <c r="E35" s="6">
        <v>967.89</v>
      </c>
      <c r="F35" s="6">
        <v>10</v>
      </c>
      <c r="G35" s="6">
        <v>0.1</v>
      </c>
      <c r="H35" s="7">
        <v>45429</v>
      </c>
      <c r="I35" s="6">
        <v>217.78</v>
      </c>
    </row>
    <row r="36" spans="1:9">
      <c r="A36" s="5" t="s">
        <v>58</v>
      </c>
      <c r="B36" s="5" t="s">
        <v>53</v>
      </c>
      <c r="C36" s="5" t="s">
        <v>24</v>
      </c>
      <c r="D36" s="5" t="s">
        <v>39</v>
      </c>
      <c r="E36" s="6">
        <v>1200.9000000000001</v>
      </c>
      <c r="F36" s="6">
        <v>14</v>
      </c>
      <c r="G36" s="6">
        <v>0.05</v>
      </c>
      <c r="H36" s="7">
        <v>45429</v>
      </c>
      <c r="I36" s="6">
        <v>513.38</v>
      </c>
    </row>
    <row r="37" spans="1:9">
      <c r="A37" s="5" t="s">
        <v>13</v>
      </c>
      <c r="B37" s="5" t="s">
        <v>26</v>
      </c>
      <c r="C37" s="5" t="s">
        <v>11</v>
      </c>
      <c r="D37" s="5" t="s">
        <v>12</v>
      </c>
      <c r="E37" s="6">
        <v>472.38</v>
      </c>
      <c r="F37" s="6">
        <v>12</v>
      </c>
      <c r="G37" s="6">
        <v>0.2</v>
      </c>
      <c r="H37" s="7">
        <v>45429</v>
      </c>
      <c r="I37" s="6">
        <v>151.16</v>
      </c>
    </row>
    <row r="38" spans="1:9">
      <c r="A38" s="5" t="s">
        <v>9</v>
      </c>
      <c r="B38" s="5" t="s">
        <v>55</v>
      </c>
      <c r="C38" s="5" t="s">
        <v>18</v>
      </c>
      <c r="D38" s="5" t="s">
        <v>39</v>
      </c>
      <c r="E38" s="6">
        <v>840.92</v>
      </c>
      <c r="F38" s="6">
        <v>9</v>
      </c>
      <c r="G38" s="6">
        <v>0.05</v>
      </c>
      <c r="H38" s="7">
        <v>45429</v>
      </c>
      <c r="I38" s="6">
        <v>359.49</v>
      </c>
    </row>
    <row r="39" spans="1:9">
      <c r="A39" s="5" t="s">
        <v>52</v>
      </c>
      <c r="B39" s="5" t="s">
        <v>48</v>
      </c>
      <c r="C39" s="5" t="s">
        <v>34</v>
      </c>
      <c r="D39" s="5" t="s">
        <v>27</v>
      </c>
      <c r="E39" s="6">
        <v>1410.06</v>
      </c>
      <c r="F39" s="6">
        <v>11</v>
      </c>
      <c r="G39" s="6">
        <v>0.05</v>
      </c>
      <c r="H39" s="7">
        <v>45434</v>
      </c>
      <c r="I39" s="6">
        <v>468.84</v>
      </c>
    </row>
    <row r="40" spans="1:9">
      <c r="A40" s="5" t="s">
        <v>44</v>
      </c>
      <c r="B40" s="5" t="s">
        <v>59</v>
      </c>
      <c r="C40" s="5" t="s">
        <v>34</v>
      </c>
      <c r="D40" s="5" t="s">
        <v>27</v>
      </c>
      <c r="E40" s="6">
        <v>773.09</v>
      </c>
      <c r="F40" s="6">
        <v>13</v>
      </c>
      <c r="G40" s="6">
        <v>0.15</v>
      </c>
      <c r="H40" s="7">
        <v>45434</v>
      </c>
      <c r="I40" s="6">
        <v>229.99</v>
      </c>
    </row>
    <row r="41" spans="1:9">
      <c r="A41" s="5" t="s">
        <v>60</v>
      </c>
      <c r="B41" s="5" t="s">
        <v>61</v>
      </c>
      <c r="C41" s="5" t="s">
        <v>18</v>
      </c>
      <c r="D41" s="5" t="s">
        <v>12</v>
      </c>
      <c r="E41" s="6">
        <v>580.42999999999995</v>
      </c>
      <c r="F41" s="6">
        <v>19</v>
      </c>
      <c r="G41" s="6">
        <v>0.15</v>
      </c>
      <c r="H41" s="7">
        <v>45435</v>
      </c>
      <c r="I41" s="6">
        <v>197.35</v>
      </c>
    </row>
    <row r="42" spans="1:9">
      <c r="A42" s="5" t="s">
        <v>19</v>
      </c>
      <c r="B42" s="5" t="s">
        <v>42</v>
      </c>
      <c r="C42" s="5" t="s">
        <v>20</v>
      </c>
      <c r="D42" s="5" t="s">
        <v>12</v>
      </c>
      <c r="E42" s="6">
        <v>1151.21</v>
      </c>
      <c r="F42" s="6">
        <v>15</v>
      </c>
      <c r="G42" s="6">
        <v>0.1</v>
      </c>
      <c r="H42" s="7">
        <v>45445</v>
      </c>
      <c r="I42" s="6">
        <v>414.44</v>
      </c>
    </row>
    <row r="43" spans="1:9">
      <c r="A43" s="5" t="s">
        <v>52</v>
      </c>
      <c r="B43" s="5" t="s">
        <v>23</v>
      </c>
      <c r="C43" s="5" t="s">
        <v>34</v>
      </c>
      <c r="D43" s="5" t="s">
        <v>39</v>
      </c>
      <c r="E43" s="6">
        <v>1025.98</v>
      </c>
      <c r="F43" s="6">
        <v>5</v>
      </c>
      <c r="G43" s="6">
        <v>0.2</v>
      </c>
      <c r="H43" s="7">
        <v>45447</v>
      </c>
      <c r="I43" s="6">
        <v>369.35</v>
      </c>
    </row>
    <row r="44" spans="1:9">
      <c r="A44" s="5" t="s">
        <v>40</v>
      </c>
      <c r="B44" s="5" t="s">
        <v>56</v>
      </c>
      <c r="C44" s="5" t="s">
        <v>18</v>
      </c>
      <c r="D44" s="5" t="s">
        <v>39</v>
      </c>
      <c r="E44" s="6">
        <v>556.41999999999996</v>
      </c>
      <c r="F44" s="6">
        <v>11</v>
      </c>
      <c r="G44" s="6">
        <v>0.15</v>
      </c>
      <c r="H44" s="7">
        <v>45447</v>
      </c>
      <c r="I44" s="6">
        <v>212.83</v>
      </c>
    </row>
    <row r="45" spans="1:9">
      <c r="A45" s="5" t="s">
        <v>57</v>
      </c>
      <c r="B45" s="5" t="s">
        <v>23</v>
      </c>
      <c r="C45" s="5" t="s">
        <v>34</v>
      </c>
      <c r="D45" s="5" t="s">
        <v>12</v>
      </c>
      <c r="E45" s="6">
        <v>840.85</v>
      </c>
      <c r="F45" s="6">
        <v>19</v>
      </c>
      <c r="G45" s="6">
        <v>0.1</v>
      </c>
      <c r="H45" s="7">
        <v>45448</v>
      </c>
      <c r="I45" s="6">
        <v>302.70999999999998</v>
      </c>
    </row>
    <row r="46" spans="1:9">
      <c r="A46" s="5" t="s">
        <v>30</v>
      </c>
      <c r="B46" s="5" t="s">
        <v>61</v>
      </c>
      <c r="C46" s="5" t="s">
        <v>24</v>
      </c>
      <c r="D46" s="5" t="s">
        <v>27</v>
      </c>
      <c r="E46" s="6">
        <v>1227.25</v>
      </c>
      <c r="F46" s="6">
        <v>12</v>
      </c>
      <c r="G46" s="6">
        <v>0.15</v>
      </c>
      <c r="H46" s="7">
        <v>45448</v>
      </c>
      <c r="I46" s="6">
        <v>365.11</v>
      </c>
    </row>
    <row r="47" spans="1:9">
      <c r="A47" s="5" t="s">
        <v>16</v>
      </c>
      <c r="B47" s="5" t="s">
        <v>62</v>
      </c>
      <c r="C47" s="5" t="s">
        <v>34</v>
      </c>
      <c r="D47" s="5" t="s">
        <v>21</v>
      </c>
      <c r="E47" s="6">
        <v>856.7</v>
      </c>
      <c r="F47" s="6">
        <v>2</v>
      </c>
      <c r="G47" s="6">
        <v>0</v>
      </c>
      <c r="H47" s="7">
        <v>45449</v>
      </c>
      <c r="I47" s="6">
        <v>214.18</v>
      </c>
    </row>
    <row r="48" spans="1:9">
      <c r="A48" s="5" t="s">
        <v>54</v>
      </c>
      <c r="B48" s="5" t="s">
        <v>56</v>
      </c>
      <c r="C48" s="5" t="s">
        <v>34</v>
      </c>
      <c r="D48" s="5" t="s">
        <v>39</v>
      </c>
      <c r="E48" s="6">
        <v>1225.42</v>
      </c>
      <c r="F48" s="6">
        <v>8</v>
      </c>
      <c r="G48" s="6">
        <v>0.15</v>
      </c>
      <c r="H48" s="7">
        <v>45449</v>
      </c>
      <c r="I48" s="6">
        <v>468.72</v>
      </c>
    </row>
    <row r="49" spans="1:9">
      <c r="A49" s="5" t="s">
        <v>63</v>
      </c>
      <c r="B49" s="5" t="s">
        <v>31</v>
      </c>
      <c r="C49" s="5" t="s">
        <v>24</v>
      </c>
      <c r="D49" s="5" t="s">
        <v>39</v>
      </c>
      <c r="E49" s="6">
        <v>1001.57</v>
      </c>
      <c r="F49" s="6">
        <v>12</v>
      </c>
      <c r="G49" s="6">
        <v>0</v>
      </c>
      <c r="H49" s="7">
        <v>45450</v>
      </c>
      <c r="I49" s="6">
        <v>450.71</v>
      </c>
    </row>
    <row r="50" spans="1:9">
      <c r="A50" s="5" t="s">
        <v>57</v>
      </c>
      <c r="B50" s="5" t="s">
        <v>26</v>
      </c>
      <c r="C50" s="5" t="s">
        <v>18</v>
      </c>
      <c r="D50" s="5" t="s">
        <v>27</v>
      </c>
      <c r="E50" s="6">
        <v>1186.8499999999999</v>
      </c>
      <c r="F50" s="6">
        <v>19</v>
      </c>
      <c r="G50" s="6">
        <v>0.2</v>
      </c>
      <c r="H50" s="7">
        <v>45451</v>
      </c>
      <c r="I50" s="6">
        <v>332.32</v>
      </c>
    </row>
    <row r="51" spans="1:9">
      <c r="A51" s="5" t="s">
        <v>44</v>
      </c>
      <c r="B51" s="5" t="s">
        <v>51</v>
      </c>
      <c r="C51" s="5" t="s">
        <v>20</v>
      </c>
      <c r="D51" s="5" t="s">
        <v>21</v>
      </c>
      <c r="E51" s="6">
        <v>775.45</v>
      </c>
      <c r="F51" s="6">
        <v>6</v>
      </c>
      <c r="G51" s="6">
        <v>0.1</v>
      </c>
      <c r="H51" s="7">
        <v>45457</v>
      </c>
      <c r="I51" s="6">
        <v>174.48</v>
      </c>
    </row>
    <row r="52" spans="1:9">
      <c r="A52" s="5" t="s">
        <v>25</v>
      </c>
      <c r="B52" s="5" t="s">
        <v>33</v>
      </c>
      <c r="C52" s="5" t="s">
        <v>20</v>
      </c>
      <c r="D52" s="5" t="s">
        <v>21</v>
      </c>
      <c r="E52" s="6">
        <v>1021.47</v>
      </c>
      <c r="F52" s="6">
        <v>6</v>
      </c>
      <c r="G52" s="6">
        <v>0.05</v>
      </c>
      <c r="H52" s="7">
        <v>45461</v>
      </c>
      <c r="I52" s="6">
        <v>242.6</v>
      </c>
    </row>
    <row r="53" spans="1:9">
      <c r="A53" s="5" t="s">
        <v>58</v>
      </c>
      <c r="B53" s="5" t="s">
        <v>23</v>
      </c>
      <c r="C53" s="5" t="s">
        <v>20</v>
      </c>
      <c r="D53" s="5" t="s">
        <v>15</v>
      </c>
      <c r="E53" s="6">
        <v>1226.6199999999999</v>
      </c>
      <c r="F53" s="6">
        <v>7</v>
      </c>
      <c r="G53" s="6">
        <v>0.1</v>
      </c>
      <c r="H53" s="7">
        <v>45463</v>
      </c>
      <c r="I53" s="6">
        <v>551.98</v>
      </c>
    </row>
    <row r="54" spans="1:9">
      <c r="A54" s="5" t="s">
        <v>22</v>
      </c>
      <c r="B54" s="5" t="s">
        <v>64</v>
      </c>
      <c r="C54" s="5" t="s">
        <v>20</v>
      </c>
      <c r="D54" s="5" t="s">
        <v>27</v>
      </c>
      <c r="E54" s="6">
        <v>1086.93</v>
      </c>
      <c r="F54" s="6">
        <v>2</v>
      </c>
      <c r="G54" s="6">
        <v>0</v>
      </c>
      <c r="H54" s="7">
        <v>45464</v>
      </c>
      <c r="I54" s="6">
        <v>380.43</v>
      </c>
    </row>
    <row r="55" spans="1:9">
      <c r="A55" s="5" t="s">
        <v>65</v>
      </c>
      <c r="B55" s="5" t="s">
        <v>48</v>
      </c>
      <c r="C55" s="5" t="s">
        <v>11</v>
      </c>
      <c r="D55" s="5" t="s">
        <v>12</v>
      </c>
      <c r="E55" s="6">
        <v>942.9</v>
      </c>
      <c r="F55" s="6">
        <v>18</v>
      </c>
      <c r="G55" s="6">
        <v>0.1</v>
      </c>
      <c r="H55" s="7">
        <v>45466</v>
      </c>
      <c r="I55" s="6">
        <v>339.44</v>
      </c>
    </row>
    <row r="56" spans="1:9">
      <c r="A56" s="5" t="s">
        <v>32</v>
      </c>
      <c r="B56" s="5" t="s">
        <v>38</v>
      </c>
      <c r="C56" s="5" t="s">
        <v>24</v>
      </c>
      <c r="D56" s="5" t="s">
        <v>21</v>
      </c>
      <c r="E56" s="6">
        <v>818.8</v>
      </c>
      <c r="F56" s="6">
        <v>15</v>
      </c>
      <c r="G56" s="6">
        <v>0.15</v>
      </c>
      <c r="H56" s="7">
        <v>45468</v>
      </c>
      <c r="I56" s="6">
        <v>173.99</v>
      </c>
    </row>
    <row r="57" spans="1:9">
      <c r="A57" s="5" t="s">
        <v>19</v>
      </c>
      <c r="B57" s="5" t="s">
        <v>14</v>
      </c>
      <c r="C57" s="5" t="s">
        <v>20</v>
      </c>
      <c r="D57" s="5" t="s">
        <v>27</v>
      </c>
      <c r="E57" s="6">
        <v>919.04</v>
      </c>
      <c r="F57" s="6">
        <v>10</v>
      </c>
      <c r="G57" s="6">
        <v>0.2</v>
      </c>
      <c r="H57" s="7">
        <v>45468</v>
      </c>
      <c r="I57" s="6">
        <v>257.33</v>
      </c>
    </row>
    <row r="58" spans="1:9">
      <c r="A58" s="5" t="s">
        <v>22</v>
      </c>
      <c r="B58" s="5" t="s">
        <v>66</v>
      </c>
      <c r="C58" s="5" t="s">
        <v>34</v>
      </c>
      <c r="D58" s="5" t="s">
        <v>12</v>
      </c>
      <c r="E58" s="6">
        <v>973.26</v>
      </c>
      <c r="F58" s="6">
        <v>11</v>
      </c>
      <c r="G58" s="6">
        <v>0</v>
      </c>
      <c r="H58" s="7">
        <v>45470</v>
      </c>
      <c r="I58" s="6">
        <v>389.3</v>
      </c>
    </row>
    <row r="59" spans="1:9">
      <c r="A59" s="5" t="s">
        <v>41</v>
      </c>
      <c r="B59" s="5" t="s">
        <v>64</v>
      </c>
      <c r="C59" s="5" t="s">
        <v>24</v>
      </c>
      <c r="D59" s="5" t="s">
        <v>21</v>
      </c>
      <c r="E59" s="6">
        <v>741.61</v>
      </c>
      <c r="F59" s="6">
        <v>1</v>
      </c>
      <c r="G59" s="6">
        <v>0.2</v>
      </c>
      <c r="H59" s="7">
        <v>45471</v>
      </c>
      <c r="I59" s="6">
        <v>148.32</v>
      </c>
    </row>
    <row r="60" spans="1:9">
      <c r="A60" s="5" t="s">
        <v>67</v>
      </c>
      <c r="B60" s="5" t="s">
        <v>38</v>
      </c>
      <c r="C60" s="5" t="s">
        <v>24</v>
      </c>
      <c r="D60" s="5" t="s">
        <v>12</v>
      </c>
      <c r="E60" s="6">
        <v>1248.82</v>
      </c>
      <c r="F60" s="6">
        <v>2</v>
      </c>
      <c r="G60" s="6">
        <v>0.1</v>
      </c>
      <c r="H60" s="7">
        <v>45473</v>
      </c>
      <c r="I60" s="6">
        <v>449.58</v>
      </c>
    </row>
    <row r="61" spans="1:9">
      <c r="A61" s="5" t="s">
        <v>13</v>
      </c>
      <c r="B61" s="5" t="s">
        <v>59</v>
      </c>
      <c r="C61" s="5" t="s">
        <v>11</v>
      </c>
      <c r="D61" s="5" t="s">
        <v>15</v>
      </c>
      <c r="E61" s="6">
        <v>1360.36</v>
      </c>
      <c r="F61" s="6">
        <v>17</v>
      </c>
      <c r="G61" s="6">
        <v>0</v>
      </c>
      <c r="H61" s="7">
        <v>45473</v>
      </c>
      <c r="I61" s="6">
        <v>680.18</v>
      </c>
    </row>
    <row r="62" spans="1:9">
      <c r="A62" s="5" t="s">
        <v>57</v>
      </c>
      <c r="B62" s="5" t="s">
        <v>31</v>
      </c>
      <c r="C62" s="5" t="s">
        <v>18</v>
      </c>
      <c r="D62" s="5" t="s">
        <v>12</v>
      </c>
      <c r="E62" s="6">
        <v>1383.3</v>
      </c>
      <c r="F62" s="6">
        <v>8</v>
      </c>
      <c r="G62" s="6">
        <v>0.1</v>
      </c>
      <c r="H62" s="7">
        <v>45478</v>
      </c>
      <c r="I62" s="6">
        <v>497.99</v>
      </c>
    </row>
    <row r="63" spans="1:9">
      <c r="A63" s="5" t="s">
        <v>35</v>
      </c>
      <c r="B63" s="5" t="s">
        <v>55</v>
      </c>
      <c r="C63" s="5" t="s">
        <v>34</v>
      </c>
      <c r="D63" s="5" t="s">
        <v>39</v>
      </c>
      <c r="E63" s="6">
        <v>488.99</v>
      </c>
      <c r="F63" s="6">
        <v>9</v>
      </c>
      <c r="G63" s="6">
        <v>0</v>
      </c>
      <c r="H63" s="7">
        <v>45479</v>
      </c>
      <c r="I63" s="6">
        <v>220.05</v>
      </c>
    </row>
    <row r="64" spans="1:9">
      <c r="A64" s="5" t="s">
        <v>30</v>
      </c>
      <c r="B64" s="5" t="s">
        <v>31</v>
      </c>
      <c r="C64" s="5" t="s">
        <v>18</v>
      </c>
      <c r="D64" s="5" t="s">
        <v>27</v>
      </c>
      <c r="E64" s="6">
        <v>933.71</v>
      </c>
      <c r="F64" s="6">
        <v>17</v>
      </c>
      <c r="G64" s="6">
        <v>0.1</v>
      </c>
      <c r="H64" s="7">
        <v>45481</v>
      </c>
      <c r="I64" s="6">
        <v>294.12</v>
      </c>
    </row>
    <row r="65" spans="1:12">
      <c r="A65" s="5" t="s">
        <v>67</v>
      </c>
      <c r="B65" s="5" t="s">
        <v>10</v>
      </c>
      <c r="C65" s="5" t="s">
        <v>11</v>
      </c>
      <c r="D65" s="5" t="s">
        <v>21</v>
      </c>
      <c r="E65" s="6">
        <v>1005.53</v>
      </c>
      <c r="F65" s="6">
        <v>17</v>
      </c>
      <c r="G65" s="6">
        <v>0.2</v>
      </c>
      <c r="H65" s="7">
        <v>45481</v>
      </c>
      <c r="I65" s="6">
        <v>201.11</v>
      </c>
    </row>
    <row r="66" spans="1:12">
      <c r="A66" s="5" t="s">
        <v>41</v>
      </c>
      <c r="B66" s="5" t="s">
        <v>61</v>
      </c>
      <c r="C66" s="5" t="s">
        <v>20</v>
      </c>
      <c r="D66" s="5" t="s">
        <v>21</v>
      </c>
      <c r="E66" s="6">
        <v>1100.0999999999999</v>
      </c>
      <c r="F66" s="6">
        <v>5</v>
      </c>
      <c r="G66" s="6">
        <v>0.05</v>
      </c>
      <c r="H66" s="7">
        <v>45482</v>
      </c>
      <c r="I66" s="6">
        <v>261.27</v>
      </c>
    </row>
    <row r="67" spans="1:12">
      <c r="A67" s="5" t="s">
        <v>67</v>
      </c>
      <c r="B67" s="5" t="s">
        <v>23</v>
      </c>
      <c r="C67" s="5" t="s">
        <v>24</v>
      </c>
      <c r="D67" s="5" t="s">
        <v>27</v>
      </c>
      <c r="E67" s="6">
        <v>1034.7</v>
      </c>
      <c r="F67" s="6">
        <v>15</v>
      </c>
      <c r="G67" s="6">
        <v>0.15</v>
      </c>
      <c r="H67" s="7">
        <v>45487</v>
      </c>
      <c r="I67" s="6">
        <v>307.82</v>
      </c>
    </row>
    <row r="68" spans="1:12">
      <c r="A68" s="5" t="s">
        <v>65</v>
      </c>
      <c r="B68" s="5" t="s">
        <v>31</v>
      </c>
      <c r="C68" s="5" t="s">
        <v>20</v>
      </c>
      <c r="D68" s="5" t="s">
        <v>12</v>
      </c>
      <c r="E68" s="6">
        <v>876.44</v>
      </c>
      <c r="F68" s="6">
        <v>12</v>
      </c>
      <c r="G68" s="6">
        <v>0.05</v>
      </c>
      <c r="H68" s="7">
        <v>45488</v>
      </c>
      <c r="I68" s="6">
        <v>333.05</v>
      </c>
    </row>
    <row r="69" spans="1:12">
      <c r="A69" s="5" t="s">
        <v>68</v>
      </c>
      <c r="B69" s="5" t="s">
        <v>55</v>
      </c>
      <c r="C69" s="5" t="s">
        <v>11</v>
      </c>
      <c r="D69" s="5" t="s">
        <v>27</v>
      </c>
      <c r="E69" s="6">
        <v>1371.34</v>
      </c>
      <c r="F69" s="6">
        <v>5</v>
      </c>
      <c r="G69" s="6">
        <v>0.05</v>
      </c>
      <c r="H69" s="7">
        <v>45488</v>
      </c>
      <c r="I69" s="6">
        <v>455.97</v>
      </c>
    </row>
    <row r="70" spans="1:12">
      <c r="A70" s="5" t="s">
        <v>57</v>
      </c>
      <c r="B70" s="5" t="s">
        <v>47</v>
      </c>
      <c r="C70" s="5" t="s">
        <v>24</v>
      </c>
      <c r="D70" s="5" t="s">
        <v>21</v>
      </c>
      <c r="E70" s="6">
        <v>1020.26</v>
      </c>
      <c r="F70" s="6">
        <v>11</v>
      </c>
      <c r="G70" s="6">
        <v>0.05</v>
      </c>
      <c r="H70" s="7">
        <v>45494</v>
      </c>
      <c r="I70" s="6">
        <v>242.31</v>
      </c>
    </row>
    <row r="71" spans="1:12">
      <c r="A71" s="5" t="s">
        <v>44</v>
      </c>
      <c r="B71" s="5" t="s">
        <v>10</v>
      </c>
      <c r="C71" s="5" t="s">
        <v>34</v>
      </c>
      <c r="D71" s="5" t="s">
        <v>39</v>
      </c>
      <c r="E71" s="6">
        <v>804.81</v>
      </c>
      <c r="F71" s="6">
        <v>1</v>
      </c>
      <c r="G71" s="6">
        <v>0.05</v>
      </c>
      <c r="H71" s="7">
        <v>45502</v>
      </c>
      <c r="I71" s="6">
        <v>344.06</v>
      </c>
      <c r="L71">
        <f>MAX(E2:E201)</f>
        <v>1923.66</v>
      </c>
    </row>
    <row r="72" spans="1:12">
      <c r="A72" s="5" t="s">
        <v>22</v>
      </c>
      <c r="B72" s="5" t="s">
        <v>55</v>
      </c>
      <c r="C72" s="5" t="s">
        <v>34</v>
      </c>
      <c r="D72" s="5" t="s">
        <v>21</v>
      </c>
      <c r="E72" s="6">
        <v>608.66</v>
      </c>
      <c r="F72" s="6">
        <v>1</v>
      </c>
      <c r="G72" s="6">
        <v>0.05</v>
      </c>
      <c r="H72" s="7">
        <v>45503</v>
      </c>
      <c r="I72" s="6">
        <v>144.56</v>
      </c>
    </row>
    <row r="73" spans="1:12">
      <c r="A73" s="5" t="s">
        <v>68</v>
      </c>
      <c r="B73" s="5" t="s">
        <v>69</v>
      </c>
      <c r="C73" s="5" t="s">
        <v>20</v>
      </c>
      <c r="D73" s="5" t="s">
        <v>39</v>
      </c>
      <c r="E73" s="6">
        <v>981.2</v>
      </c>
      <c r="F73" s="6">
        <v>19</v>
      </c>
      <c r="G73" s="6">
        <v>0</v>
      </c>
      <c r="H73" s="7">
        <v>45504</v>
      </c>
      <c r="I73" s="6">
        <v>441.54</v>
      </c>
    </row>
    <row r="74" spans="1:12">
      <c r="A74" s="5" t="s">
        <v>70</v>
      </c>
      <c r="B74" s="5" t="s">
        <v>55</v>
      </c>
      <c r="C74" s="5" t="s">
        <v>18</v>
      </c>
      <c r="D74" s="5" t="s">
        <v>21</v>
      </c>
      <c r="E74" s="6">
        <v>539.77</v>
      </c>
      <c r="F74" s="6">
        <v>10</v>
      </c>
      <c r="G74" s="6">
        <v>0.15</v>
      </c>
      <c r="H74" s="7">
        <v>45509</v>
      </c>
      <c r="I74" s="6">
        <v>114.7</v>
      </c>
    </row>
    <row r="75" spans="1:12">
      <c r="A75" s="5" t="s">
        <v>13</v>
      </c>
      <c r="B75" s="5" t="s">
        <v>71</v>
      </c>
      <c r="C75" s="5" t="s">
        <v>20</v>
      </c>
      <c r="D75" s="5" t="s">
        <v>12</v>
      </c>
      <c r="E75" s="6">
        <v>804.45</v>
      </c>
      <c r="F75" s="6">
        <v>5</v>
      </c>
      <c r="G75" s="6">
        <v>0.2</v>
      </c>
      <c r="H75" s="7">
        <v>45509</v>
      </c>
      <c r="I75" s="6">
        <v>257.42</v>
      </c>
    </row>
    <row r="76" spans="1:12">
      <c r="A76" s="5" t="s">
        <v>70</v>
      </c>
      <c r="B76" s="5" t="s">
        <v>38</v>
      </c>
      <c r="C76" s="5" t="s">
        <v>11</v>
      </c>
      <c r="D76" s="5" t="s">
        <v>21</v>
      </c>
      <c r="E76" s="6">
        <v>1526.6</v>
      </c>
      <c r="F76" s="6">
        <v>13</v>
      </c>
      <c r="G76" s="6">
        <v>0.2</v>
      </c>
      <c r="H76" s="7">
        <v>45512</v>
      </c>
      <c r="I76" s="6">
        <v>305.32</v>
      </c>
    </row>
    <row r="77" spans="1:12">
      <c r="A77" s="5" t="s">
        <v>13</v>
      </c>
      <c r="B77" s="5" t="s">
        <v>29</v>
      </c>
      <c r="C77" s="5" t="s">
        <v>11</v>
      </c>
      <c r="D77" s="5" t="s">
        <v>21</v>
      </c>
      <c r="E77" s="6">
        <v>1215.26</v>
      </c>
      <c r="F77" s="6">
        <v>5</v>
      </c>
      <c r="G77" s="6">
        <v>0.15</v>
      </c>
      <c r="H77" s="7">
        <v>45513</v>
      </c>
      <c r="I77" s="6">
        <v>258.24</v>
      </c>
    </row>
    <row r="78" spans="1:12">
      <c r="A78" s="5" t="s">
        <v>19</v>
      </c>
      <c r="B78" s="5" t="s">
        <v>53</v>
      </c>
      <c r="C78" s="5" t="s">
        <v>34</v>
      </c>
      <c r="D78" s="5" t="s">
        <v>27</v>
      </c>
      <c r="E78" s="6">
        <v>1261.3399999999999</v>
      </c>
      <c r="F78" s="6">
        <v>3</v>
      </c>
      <c r="G78" s="6">
        <v>0</v>
      </c>
      <c r="H78" s="7">
        <v>45519</v>
      </c>
      <c r="I78" s="6">
        <v>441.47</v>
      </c>
    </row>
    <row r="79" spans="1:12">
      <c r="A79" s="5" t="s">
        <v>72</v>
      </c>
      <c r="B79" s="5" t="s">
        <v>45</v>
      </c>
      <c r="C79" s="5" t="s">
        <v>24</v>
      </c>
      <c r="D79" s="5" t="s">
        <v>27</v>
      </c>
      <c r="E79" s="6">
        <v>518.07000000000005</v>
      </c>
      <c r="F79" s="6">
        <v>7</v>
      </c>
      <c r="G79" s="6">
        <v>0.05</v>
      </c>
      <c r="H79" s="7">
        <v>45522</v>
      </c>
      <c r="I79" s="6">
        <v>172.26</v>
      </c>
    </row>
    <row r="80" spans="1:12">
      <c r="A80" s="5" t="s">
        <v>30</v>
      </c>
      <c r="B80" s="5" t="s">
        <v>29</v>
      </c>
      <c r="C80" s="5" t="s">
        <v>11</v>
      </c>
      <c r="D80" s="5" t="s">
        <v>39</v>
      </c>
      <c r="E80" s="6">
        <v>1111.3399999999999</v>
      </c>
      <c r="F80" s="6">
        <v>1</v>
      </c>
      <c r="G80" s="6">
        <v>0</v>
      </c>
      <c r="H80" s="7">
        <v>45523</v>
      </c>
      <c r="I80" s="6">
        <v>500.1</v>
      </c>
    </row>
    <row r="81" spans="1:9">
      <c r="A81" s="5" t="s">
        <v>22</v>
      </c>
      <c r="B81" s="5" t="s">
        <v>31</v>
      </c>
      <c r="C81" s="5" t="s">
        <v>18</v>
      </c>
      <c r="D81" s="5" t="s">
        <v>15</v>
      </c>
      <c r="E81" s="6">
        <v>1291.47</v>
      </c>
      <c r="F81" s="6">
        <v>18</v>
      </c>
      <c r="G81" s="6">
        <v>0.1</v>
      </c>
      <c r="H81" s="7">
        <v>45526</v>
      </c>
      <c r="I81" s="6">
        <v>581.16</v>
      </c>
    </row>
    <row r="82" spans="1:9">
      <c r="A82" s="5" t="s">
        <v>25</v>
      </c>
      <c r="B82" s="5" t="s">
        <v>55</v>
      </c>
      <c r="C82" s="5" t="s">
        <v>24</v>
      </c>
      <c r="D82" s="5" t="s">
        <v>12</v>
      </c>
      <c r="E82" s="6">
        <v>679.71</v>
      </c>
      <c r="F82" s="6">
        <v>19</v>
      </c>
      <c r="G82" s="6">
        <v>0</v>
      </c>
      <c r="H82" s="7">
        <v>45534</v>
      </c>
      <c r="I82" s="6">
        <v>271.88</v>
      </c>
    </row>
    <row r="83" spans="1:9">
      <c r="A83" s="5" t="s">
        <v>68</v>
      </c>
      <c r="B83" s="5" t="s">
        <v>33</v>
      </c>
      <c r="C83" s="5" t="s">
        <v>18</v>
      </c>
      <c r="D83" s="5" t="s">
        <v>27</v>
      </c>
      <c r="E83" s="6">
        <v>1143.69</v>
      </c>
      <c r="F83" s="6">
        <v>17</v>
      </c>
      <c r="G83" s="6">
        <v>0</v>
      </c>
      <c r="H83" s="7">
        <v>45534</v>
      </c>
      <c r="I83" s="6">
        <v>400.29</v>
      </c>
    </row>
    <row r="84" spans="1:9">
      <c r="A84" s="5" t="s">
        <v>52</v>
      </c>
      <c r="B84" s="5" t="s">
        <v>50</v>
      </c>
      <c r="C84" s="5" t="s">
        <v>34</v>
      </c>
      <c r="D84" s="5" t="s">
        <v>21</v>
      </c>
      <c r="E84" s="6">
        <v>790.08</v>
      </c>
      <c r="F84" s="6">
        <v>7</v>
      </c>
      <c r="G84" s="6">
        <v>0.1</v>
      </c>
      <c r="H84" s="7">
        <v>45536</v>
      </c>
      <c r="I84" s="6">
        <v>177.77</v>
      </c>
    </row>
    <row r="85" spans="1:9">
      <c r="A85" s="5" t="s">
        <v>19</v>
      </c>
      <c r="B85" s="5" t="s">
        <v>48</v>
      </c>
      <c r="C85" s="5" t="s">
        <v>34</v>
      </c>
      <c r="D85" s="5" t="s">
        <v>12</v>
      </c>
      <c r="E85" s="6">
        <v>1070.68</v>
      </c>
      <c r="F85" s="6">
        <v>7</v>
      </c>
      <c r="G85" s="6">
        <v>0.05</v>
      </c>
      <c r="H85" s="7">
        <v>45536</v>
      </c>
      <c r="I85" s="6">
        <v>406.86</v>
      </c>
    </row>
    <row r="86" spans="1:9">
      <c r="A86" s="5" t="s">
        <v>58</v>
      </c>
      <c r="B86" s="5" t="s">
        <v>36</v>
      </c>
      <c r="C86" s="5" t="s">
        <v>11</v>
      </c>
      <c r="D86" s="5" t="s">
        <v>15</v>
      </c>
      <c r="E86" s="6">
        <v>1168.8900000000001</v>
      </c>
      <c r="F86" s="6">
        <v>4</v>
      </c>
      <c r="G86" s="6">
        <v>0.1</v>
      </c>
      <c r="H86" s="7">
        <v>45544</v>
      </c>
      <c r="I86" s="6">
        <v>526</v>
      </c>
    </row>
    <row r="87" spans="1:9">
      <c r="A87" s="5" t="s">
        <v>67</v>
      </c>
      <c r="B87" s="5" t="s">
        <v>10</v>
      </c>
      <c r="C87" s="5" t="s">
        <v>20</v>
      </c>
      <c r="D87" s="5" t="s">
        <v>21</v>
      </c>
      <c r="E87" s="6">
        <v>1335.87</v>
      </c>
      <c r="F87" s="6">
        <v>17</v>
      </c>
      <c r="G87" s="6">
        <v>0</v>
      </c>
      <c r="H87" s="7">
        <v>45544</v>
      </c>
      <c r="I87" s="6">
        <v>333.97</v>
      </c>
    </row>
    <row r="88" spans="1:9">
      <c r="A88" s="5" t="s">
        <v>40</v>
      </c>
      <c r="B88" s="5" t="s">
        <v>55</v>
      </c>
      <c r="C88" s="5" t="s">
        <v>18</v>
      </c>
      <c r="D88" s="5" t="s">
        <v>27</v>
      </c>
      <c r="E88" s="6">
        <v>873.7</v>
      </c>
      <c r="F88" s="6">
        <v>9</v>
      </c>
      <c r="G88" s="6">
        <v>0</v>
      </c>
      <c r="H88" s="7">
        <v>45546</v>
      </c>
      <c r="I88" s="6">
        <v>305.8</v>
      </c>
    </row>
    <row r="89" spans="1:9">
      <c r="A89" s="5" t="s">
        <v>72</v>
      </c>
      <c r="B89" s="5" t="s">
        <v>64</v>
      </c>
      <c r="C89" s="5" t="s">
        <v>11</v>
      </c>
      <c r="D89" s="5" t="s">
        <v>39</v>
      </c>
      <c r="E89" s="6">
        <v>1443.98</v>
      </c>
      <c r="F89" s="6">
        <v>19</v>
      </c>
      <c r="G89" s="6">
        <v>0</v>
      </c>
      <c r="H89" s="7">
        <v>45547</v>
      </c>
      <c r="I89" s="6">
        <v>649.79</v>
      </c>
    </row>
    <row r="90" spans="1:9">
      <c r="A90" s="5" t="s">
        <v>40</v>
      </c>
      <c r="B90" s="5" t="s">
        <v>23</v>
      </c>
      <c r="C90" s="5" t="s">
        <v>18</v>
      </c>
      <c r="D90" s="5" t="s">
        <v>39</v>
      </c>
      <c r="E90" s="6">
        <v>1154.33</v>
      </c>
      <c r="F90" s="6">
        <v>11</v>
      </c>
      <c r="G90" s="6">
        <v>0.15</v>
      </c>
      <c r="H90" s="7">
        <v>45549</v>
      </c>
      <c r="I90" s="6">
        <v>441.53</v>
      </c>
    </row>
    <row r="91" spans="1:9">
      <c r="A91" s="5" t="s">
        <v>49</v>
      </c>
      <c r="B91" s="5" t="s">
        <v>50</v>
      </c>
      <c r="C91" s="5" t="s">
        <v>20</v>
      </c>
      <c r="D91" s="5" t="s">
        <v>12</v>
      </c>
      <c r="E91" s="6">
        <v>1264.49</v>
      </c>
      <c r="F91" s="6">
        <v>16</v>
      </c>
      <c r="G91" s="6">
        <v>0.05</v>
      </c>
      <c r="H91" s="7">
        <v>45549</v>
      </c>
      <c r="I91" s="6">
        <v>480.51</v>
      </c>
    </row>
    <row r="92" spans="1:9">
      <c r="A92" s="5" t="s">
        <v>25</v>
      </c>
      <c r="B92" s="5" t="s">
        <v>66</v>
      </c>
      <c r="C92" s="5" t="s">
        <v>11</v>
      </c>
      <c r="D92" s="5" t="s">
        <v>27</v>
      </c>
      <c r="E92" s="6">
        <v>1101.55</v>
      </c>
      <c r="F92" s="6">
        <v>4</v>
      </c>
      <c r="G92" s="6">
        <v>0.1</v>
      </c>
      <c r="H92" s="7">
        <v>45551</v>
      </c>
      <c r="I92" s="6">
        <v>346.99</v>
      </c>
    </row>
    <row r="93" spans="1:9">
      <c r="A93" s="5" t="s">
        <v>73</v>
      </c>
      <c r="B93" s="5" t="s">
        <v>14</v>
      </c>
      <c r="C93" s="5" t="s">
        <v>20</v>
      </c>
      <c r="D93" s="5" t="s">
        <v>27</v>
      </c>
      <c r="E93" s="6">
        <v>727.73</v>
      </c>
      <c r="F93" s="6">
        <v>1</v>
      </c>
      <c r="G93" s="6">
        <v>0.1</v>
      </c>
      <c r="H93" s="7">
        <v>45552</v>
      </c>
      <c r="I93" s="6">
        <v>229.23</v>
      </c>
    </row>
    <row r="94" spans="1:9">
      <c r="A94" s="5" t="s">
        <v>74</v>
      </c>
      <c r="B94" s="5" t="s">
        <v>38</v>
      </c>
      <c r="C94" s="5" t="s">
        <v>18</v>
      </c>
      <c r="D94" s="5" t="s">
        <v>39</v>
      </c>
      <c r="E94" s="6">
        <v>875.41</v>
      </c>
      <c r="F94" s="6">
        <v>13</v>
      </c>
      <c r="G94" s="6">
        <v>0.15</v>
      </c>
      <c r="H94" s="7">
        <v>45552</v>
      </c>
      <c r="I94" s="6">
        <v>334.84</v>
      </c>
    </row>
    <row r="95" spans="1:9">
      <c r="A95" s="5" t="s">
        <v>67</v>
      </c>
      <c r="B95" s="5" t="s">
        <v>23</v>
      </c>
      <c r="C95" s="5" t="s">
        <v>11</v>
      </c>
      <c r="D95" s="5" t="s">
        <v>21</v>
      </c>
      <c r="E95" s="6">
        <v>1158.94</v>
      </c>
      <c r="F95" s="6">
        <v>19</v>
      </c>
      <c r="G95" s="6">
        <v>0.2</v>
      </c>
      <c r="H95" s="7">
        <v>45553</v>
      </c>
      <c r="I95" s="6">
        <v>231.79</v>
      </c>
    </row>
    <row r="96" spans="1:9">
      <c r="A96" s="5" t="s">
        <v>75</v>
      </c>
      <c r="B96" s="5" t="s">
        <v>47</v>
      </c>
      <c r="C96" s="5" t="s">
        <v>20</v>
      </c>
      <c r="D96" s="5" t="s">
        <v>12</v>
      </c>
      <c r="E96" s="6">
        <v>966.3</v>
      </c>
      <c r="F96" s="6">
        <v>2</v>
      </c>
      <c r="G96" s="6">
        <v>0.15</v>
      </c>
      <c r="H96" s="7">
        <v>45557</v>
      </c>
      <c r="I96" s="6">
        <v>328.54</v>
      </c>
    </row>
    <row r="97" spans="1:9">
      <c r="A97" s="5" t="s">
        <v>68</v>
      </c>
      <c r="B97" s="5" t="s">
        <v>17</v>
      </c>
      <c r="C97" s="5" t="s">
        <v>20</v>
      </c>
      <c r="D97" s="5" t="s">
        <v>12</v>
      </c>
      <c r="E97" s="6">
        <v>917.48</v>
      </c>
      <c r="F97" s="6">
        <v>6</v>
      </c>
      <c r="G97" s="6">
        <v>0</v>
      </c>
      <c r="H97" s="7">
        <v>45558</v>
      </c>
      <c r="I97" s="6">
        <v>366.99</v>
      </c>
    </row>
    <row r="98" spans="1:9">
      <c r="A98" s="5" t="s">
        <v>41</v>
      </c>
      <c r="B98" s="5" t="s">
        <v>61</v>
      </c>
      <c r="C98" s="5" t="s">
        <v>11</v>
      </c>
      <c r="D98" s="5" t="s">
        <v>27</v>
      </c>
      <c r="E98" s="6">
        <v>1172.97</v>
      </c>
      <c r="F98" s="6">
        <v>7</v>
      </c>
      <c r="G98" s="6">
        <v>0.15</v>
      </c>
      <c r="H98" s="7">
        <v>45559</v>
      </c>
      <c r="I98" s="6">
        <v>348.96</v>
      </c>
    </row>
    <row r="99" spans="1:9">
      <c r="A99" s="5" t="s">
        <v>57</v>
      </c>
      <c r="B99" s="5" t="s">
        <v>23</v>
      </c>
      <c r="C99" s="5" t="s">
        <v>24</v>
      </c>
      <c r="D99" s="5" t="s">
        <v>15</v>
      </c>
      <c r="E99" s="6">
        <v>1205.82</v>
      </c>
      <c r="F99" s="6">
        <v>11</v>
      </c>
      <c r="G99" s="6">
        <v>0.1</v>
      </c>
      <c r="H99" s="7">
        <v>45559</v>
      </c>
      <c r="I99" s="6">
        <v>542.62</v>
      </c>
    </row>
    <row r="100" spans="1:9">
      <c r="A100" s="5" t="s">
        <v>16</v>
      </c>
      <c r="B100" s="5" t="s">
        <v>64</v>
      </c>
      <c r="C100" s="5" t="s">
        <v>11</v>
      </c>
      <c r="D100" s="5" t="s">
        <v>39</v>
      </c>
      <c r="E100" s="6">
        <v>826.93</v>
      </c>
      <c r="F100" s="6">
        <v>10</v>
      </c>
      <c r="G100" s="6">
        <v>0.2</v>
      </c>
      <c r="H100" s="7">
        <v>45564</v>
      </c>
      <c r="I100" s="6">
        <v>297.69</v>
      </c>
    </row>
    <row r="101" spans="1:9">
      <c r="A101" s="5" t="s">
        <v>67</v>
      </c>
      <c r="B101" s="5" t="s">
        <v>23</v>
      </c>
      <c r="C101" s="5" t="s">
        <v>34</v>
      </c>
      <c r="D101" s="5" t="s">
        <v>15</v>
      </c>
      <c r="E101" s="6">
        <v>902.19</v>
      </c>
      <c r="F101" s="6">
        <v>12</v>
      </c>
      <c r="G101" s="6">
        <v>0</v>
      </c>
      <c r="H101" s="7">
        <v>45564</v>
      </c>
      <c r="I101" s="6">
        <v>451.1</v>
      </c>
    </row>
    <row r="102" spans="1:9">
      <c r="A102" s="5" t="s">
        <v>74</v>
      </c>
      <c r="B102" s="5" t="s">
        <v>38</v>
      </c>
      <c r="C102" s="5" t="s">
        <v>24</v>
      </c>
      <c r="D102" s="5" t="s">
        <v>12</v>
      </c>
      <c r="E102" s="6">
        <v>585.97</v>
      </c>
      <c r="F102" s="6">
        <v>17</v>
      </c>
      <c r="G102" s="6">
        <v>0.1</v>
      </c>
      <c r="H102" s="7">
        <v>45565</v>
      </c>
      <c r="I102" s="6">
        <v>210.95</v>
      </c>
    </row>
    <row r="103" spans="1:9">
      <c r="A103" s="5" t="s">
        <v>60</v>
      </c>
      <c r="B103" s="5" t="s">
        <v>26</v>
      </c>
      <c r="C103" s="5" t="s">
        <v>24</v>
      </c>
      <c r="D103" s="5" t="s">
        <v>15</v>
      </c>
      <c r="E103" s="6">
        <v>990.19</v>
      </c>
      <c r="F103" s="6">
        <v>8</v>
      </c>
      <c r="G103" s="6">
        <v>0.1</v>
      </c>
      <c r="H103" s="7">
        <v>45565</v>
      </c>
      <c r="I103" s="6">
        <v>445.59</v>
      </c>
    </row>
    <row r="104" spans="1:9">
      <c r="A104" s="5" t="s">
        <v>44</v>
      </c>
      <c r="B104" s="5" t="s">
        <v>56</v>
      </c>
      <c r="C104" s="5" t="s">
        <v>34</v>
      </c>
      <c r="D104" s="5" t="s">
        <v>21</v>
      </c>
      <c r="E104" s="6">
        <v>1014.09</v>
      </c>
      <c r="F104" s="6">
        <v>13</v>
      </c>
      <c r="G104" s="6">
        <v>0.2</v>
      </c>
      <c r="H104" s="7">
        <v>45567</v>
      </c>
      <c r="I104" s="6">
        <v>202.82</v>
      </c>
    </row>
    <row r="105" spans="1:9">
      <c r="A105" s="5" t="s">
        <v>13</v>
      </c>
      <c r="B105" s="5" t="s">
        <v>48</v>
      </c>
      <c r="C105" s="5" t="s">
        <v>24</v>
      </c>
      <c r="D105" s="5" t="s">
        <v>21</v>
      </c>
      <c r="E105" s="6">
        <v>925.29</v>
      </c>
      <c r="F105" s="6">
        <v>17</v>
      </c>
      <c r="G105" s="6">
        <v>0</v>
      </c>
      <c r="H105" s="7">
        <v>45570</v>
      </c>
      <c r="I105" s="6">
        <v>231.32</v>
      </c>
    </row>
    <row r="106" spans="1:9">
      <c r="A106" s="5" t="s">
        <v>54</v>
      </c>
      <c r="B106" s="5" t="s">
        <v>47</v>
      </c>
      <c r="C106" s="5" t="s">
        <v>18</v>
      </c>
      <c r="D106" s="5" t="s">
        <v>27</v>
      </c>
      <c r="E106" s="6">
        <v>1286.54</v>
      </c>
      <c r="F106" s="6">
        <v>8</v>
      </c>
      <c r="G106" s="6">
        <v>0</v>
      </c>
      <c r="H106" s="7">
        <v>45575</v>
      </c>
      <c r="I106" s="6">
        <v>450.29</v>
      </c>
    </row>
    <row r="107" spans="1:9">
      <c r="A107" s="5" t="s">
        <v>37</v>
      </c>
      <c r="B107" s="5" t="s">
        <v>64</v>
      </c>
      <c r="C107" s="5" t="s">
        <v>20</v>
      </c>
      <c r="D107" s="5" t="s">
        <v>12</v>
      </c>
      <c r="E107" s="6">
        <v>961.62</v>
      </c>
      <c r="F107" s="6">
        <v>8</v>
      </c>
      <c r="G107" s="6">
        <v>0.2</v>
      </c>
      <c r="H107" s="7">
        <v>45577</v>
      </c>
      <c r="I107" s="6">
        <v>307.72000000000003</v>
      </c>
    </row>
    <row r="108" spans="1:9">
      <c r="A108" s="5" t="s">
        <v>44</v>
      </c>
      <c r="B108" s="5" t="s">
        <v>23</v>
      </c>
      <c r="C108" s="5" t="s">
        <v>18</v>
      </c>
      <c r="D108" s="5" t="s">
        <v>12</v>
      </c>
      <c r="E108" s="6">
        <v>1081.1400000000001</v>
      </c>
      <c r="F108" s="6">
        <v>19</v>
      </c>
      <c r="G108" s="6">
        <v>0.15</v>
      </c>
      <c r="H108" s="7">
        <v>45577</v>
      </c>
      <c r="I108" s="6">
        <v>367.59</v>
      </c>
    </row>
    <row r="109" spans="1:9">
      <c r="A109" s="5" t="s">
        <v>58</v>
      </c>
      <c r="B109" s="5" t="s">
        <v>23</v>
      </c>
      <c r="C109" s="5" t="s">
        <v>11</v>
      </c>
      <c r="D109" s="5" t="s">
        <v>15</v>
      </c>
      <c r="E109" s="6">
        <v>1923.66</v>
      </c>
      <c r="F109" s="6">
        <v>9</v>
      </c>
      <c r="G109" s="6">
        <v>0.2</v>
      </c>
      <c r="H109" s="7">
        <v>45580</v>
      </c>
      <c r="I109" s="6">
        <v>769.46</v>
      </c>
    </row>
    <row r="110" spans="1:9">
      <c r="A110" s="5" t="s">
        <v>54</v>
      </c>
      <c r="B110" s="5" t="s">
        <v>66</v>
      </c>
      <c r="C110" s="5" t="s">
        <v>34</v>
      </c>
      <c r="D110" s="5" t="s">
        <v>15</v>
      </c>
      <c r="E110" s="6">
        <v>728.71</v>
      </c>
      <c r="F110" s="6">
        <v>14</v>
      </c>
      <c r="G110" s="6">
        <v>0.1</v>
      </c>
      <c r="H110" s="7">
        <v>45581</v>
      </c>
      <c r="I110" s="6">
        <v>327.92</v>
      </c>
    </row>
    <row r="111" spans="1:9">
      <c r="A111" s="5" t="s">
        <v>9</v>
      </c>
      <c r="B111" s="5" t="s">
        <v>33</v>
      </c>
      <c r="C111" s="5" t="s">
        <v>34</v>
      </c>
      <c r="D111" s="5" t="s">
        <v>15</v>
      </c>
      <c r="E111" s="6">
        <v>1301.8900000000001</v>
      </c>
      <c r="F111" s="6">
        <v>7</v>
      </c>
      <c r="G111" s="6">
        <v>0.15</v>
      </c>
      <c r="H111" s="7">
        <v>45581</v>
      </c>
      <c r="I111" s="6">
        <v>553.29999999999995</v>
      </c>
    </row>
    <row r="112" spans="1:9">
      <c r="A112" s="5" t="s">
        <v>70</v>
      </c>
      <c r="B112" s="5" t="s">
        <v>66</v>
      </c>
      <c r="C112" s="5" t="s">
        <v>18</v>
      </c>
      <c r="D112" s="5" t="s">
        <v>12</v>
      </c>
      <c r="E112" s="6">
        <v>980.18</v>
      </c>
      <c r="F112" s="6">
        <v>16</v>
      </c>
      <c r="G112" s="6">
        <v>0.1</v>
      </c>
      <c r="H112" s="7">
        <v>45582</v>
      </c>
      <c r="I112" s="6">
        <v>352.86</v>
      </c>
    </row>
    <row r="113" spans="1:9">
      <c r="A113" s="5" t="s">
        <v>74</v>
      </c>
      <c r="B113" s="5" t="s">
        <v>23</v>
      </c>
      <c r="C113" s="5" t="s">
        <v>11</v>
      </c>
      <c r="D113" s="5" t="s">
        <v>15</v>
      </c>
      <c r="E113" s="6">
        <v>697.57</v>
      </c>
      <c r="F113" s="6">
        <v>17</v>
      </c>
      <c r="G113" s="6">
        <v>0.1</v>
      </c>
      <c r="H113" s="7">
        <v>45584</v>
      </c>
      <c r="I113" s="6">
        <v>313.91000000000003</v>
      </c>
    </row>
    <row r="114" spans="1:9">
      <c r="A114" s="5" t="s">
        <v>46</v>
      </c>
      <c r="B114" s="5" t="s">
        <v>71</v>
      </c>
      <c r="C114" s="5" t="s">
        <v>11</v>
      </c>
      <c r="D114" s="5" t="s">
        <v>27</v>
      </c>
      <c r="E114" s="6">
        <v>1193.6099999999999</v>
      </c>
      <c r="F114" s="6">
        <v>1</v>
      </c>
      <c r="G114" s="6">
        <v>0.15</v>
      </c>
      <c r="H114" s="7">
        <v>45584</v>
      </c>
      <c r="I114" s="6">
        <v>355.1</v>
      </c>
    </row>
    <row r="115" spans="1:9">
      <c r="A115" s="5" t="s">
        <v>32</v>
      </c>
      <c r="B115" s="5" t="s">
        <v>38</v>
      </c>
      <c r="C115" s="5" t="s">
        <v>20</v>
      </c>
      <c r="D115" s="5" t="s">
        <v>21</v>
      </c>
      <c r="E115" s="6">
        <v>771.02</v>
      </c>
      <c r="F115" s="6">
        <v>1</v>
      </c>
      <c r="G115" s="6">
        <v>0</v>
      </c>
      <c r="H115" s="7">
        <v>45585</v>
      </c>
      <c r="I115" s="6">
        <v>192.76</v>
      </c>
    </row>
    <row r="116" spans="1:9">
      <c r="A116" s="5" t="s">
        <v>67</v>
      </c>
      <c r="B116" s="5" t="s">
        <v>69</v>
      </c>
      <c r="C116" s="5" t="s">
        <v>24</v>
      </c>
      <c r="D116" s="5" t="s">
        <v>15</v>
      </c>
      <c r="E116" s="6">
        <v>661.09</v>
      </c>
      <c r="F116" s="6">
        <v>1</v>
      </c>
      <c r="G116" s="6">
        <v>0.2</v>
      </c>
      <c r="H116" s="7">
        <v>45593</v>
      </c>
      <c r="I116" s="6">
        <v>264.44</v>
      </c>
    </row>
    <row r="117" spans="1:9">
      <c r="A117" s="5" t="s">
        <v>13</v>
      </c>
      <c r="B117" s="5" t="s">
        <v>55</v>
      </c>
      <c r="C117" s="5" t="s">
        <v>11</v>
      </c>
      <c r="D117" s="5" t="s">
        <v>21</v>
      </c>
      <c r="E117" s="6">
        <v>688.83</v>
      </c>
      <c r="F117" s="6">
        <v>15</v>
      </c>
      <c r="G117" s="6">
        <v>0</v>
      </c>
      <c r="H117" s="7">
        <v>45595</v>
      </c>
      <c r="I117" s="6">
        <v>172.21</v>
      </c>
    </row>
    <row r="118" spans="1:9">
      <c r="A118" s="5" t="s">
        <v>73</v>
      </c>
      <c r="B118" s="5" t="s">
        <v>29</v>
      </c>
      <c r="C118" s="5" t="s">
        <v>34</v>
      </c>
      <c r="D118" s="5" t="s">
        <v>12</v>
      </c>
      <c r="E118" s="6">
        <v>1249.0999999999999</v>
      </c>
      <c r="F118" s="6">
        <v>4</v>
      </c>
      <c r="G118" s="6">
        <v>0.05</v>
      </c>
      <c r="H118" s="7">
        <v>45597</v>
      </c>
      <c r="I118" s="6">
        <v>474.66</v>
      </c>
    </row>
    <row r="119" spans="1:9">
      <c r="A119" s="5" t="s">
        <v>44</v>
      </c>
      <c r="B119" s="5" t="s">
        <v>23</v>
      </c>
      <c r="C119" s="5" t="s">
        <v>18</v>
      </c>
      <c r="D119" s="5" t="s">
        <v>39</v>
      </c>
      <c r="E119" s="6">
        <v>1014.22</v>
      </c>
      <c r="F119" s="6">
        <v>14</v>
      </c>
      <c r="G119" s="6">
        <v>0.05</v>
      </c>
      <c r="H119" s="7">
        <v>45599</v>
      </c>
      <c r="I119" s="6">
        <v>433.58</v>
      </c>
    </row>
    <row r="120" spans="1:9">
      <c r="A120" s="5" t="s">
        <v>54</v>
      </c>
      <c r="B120" s="5" t="s">
        <v>48</v>
      </c>
      <c r="C120" s="5" t="s">
        <v>18</v>
      </c>
      <c r="D120" s="5" t="s">
        <v>12</v>
      </c>
      <c r="E120" s="6">
        <v>1010.58</v>
      </c>
      <c r="F120" s="6">
        <v>2</v>
      </c>
      <c r="G120" s="6">
        <v>0.15</v>
      </c>
      <c r="H120" s="7">
        <v>45605</v>
      </c>
      <c r="I120" s="6">
        <v>343.6</v>
      </c>
    </row>
    <row r="121" spans="1:9">
      <c r="A121" s="5" t="s">
        <v>30</v>
      </c>
      <c r="B121" s="5" t="s">
        <v>59</v>
      </c>
      <c r="C121" s="5" t="s">
        <v>24</v>
      </c>
      <c r="D121" s="5" t="s">
        <v>27</v>
      </c>
      <c r="E121" s="6">
        <v>957.29</v>
      </c>
      <c r="F121" s="6">
        <v>4</v>
      </c>
      <c r="G121" s="6">
        <v>0.05</v>
      </c>
      <c r="H121" s="7">
        <v>45605</v>
      </c>
      <c r="I121" s="6">
        <v>318.3</v>
      </c>
    </row>
    <row r="122" spans="1:9">
      <c r="A122" s="5" t="s">
        <v>28</v>
      </c>
      <c r="B122" s="5" t="s">
        <v>45</v>
      </c>
      <c r="C122" s="5" t="s">
        <v>24</v>
      </c>
      <c r="D122" s="5" t="s">
        <v>27</v>
      </c>
      <c r="E122" s="6">
        <v>1077.92</v>
      </c>
      <c r="F122" s="6">
        <v>3</v>
      </c>
      <c r="G122" s="6">
        <v>0.05</v>
      </c>
      <c r="H122" s="7">
        <v>45608</v>
      </c>
      <c r="I122" s="6">
        <v>358.41</v>
      </c>
    </row>
    <row r="123" spans="1:9">
      <c r="A123" s="5" t="s">
        <v>52</v>
      </c>
      <c r="B123" s="5" t="s">
        <v>50</v>
      </c>
      <c r="C123" s="5" t="s">
        <v>20</v>
      </c>
      <c r="D123" s="5" t="s">
        <v>15</v>
      </c>
      <c r="E123" s="6">
        <v>1163.01</v>
      </c>
      <c r="F123" s="6">
        <v>5</v>
      </c>
      <c r="G123" s="6">
        <v>0</v>
      </c>
      <c r="H123" s="7">
        <v>45611</v>
      </c>
      <c r="I123" s="6">
        <v>581.5</v>
      </c>
    </row>
    <row r="124" spans="1:9">
      <c r="A124" s="5" t="s">
        <v>54</v>
      </c>
      <c r="B124" s="5" t="s">
        <v>45</v>
      </c>
      <c r="C124" s="5" t="s">
        <v>18</v>
      </c>
      <c r="D124" s="5" t="s">
        <v>39</v>
      </c>
      <c r="E124" s="6">
        <v>1014.56</v>
      </c>
      <c r="F124" s="6">
        <v>10</v>
      </c>
      <c r="G124" s="6">
        <v>0.1</v>
      </c>
      <c r="H124" s="7">
        <v>45612</v>
      </c>
      <c r="I124" s="6">
        <v>410.9</v>
      </c>
    </row>
    <row r="125" spans="1:9">
      <c r="A125" s="5" t="s">
        <v>9</v>
      </c>
      <c r="B125" s="5" t="s">
        <v>17</v>
      </c>
      <c r="C125" s="5" t="s">
        <v>20</v>
      </c>
      <c r="D125" s="5" t="s">
        <v>21</v>
      </c>
      <c r="E125" s="6">
        <v>718.04</v>
      </c>
      <c r="F125" s="6">
        <v>14</v>
      </c>
      <c r="G125" s="6">
        <v>0</v>
      </c>
      <c r="H125" s="7">
        <v>45613</v>
      </c>
      <c r="I125" s="6">
        <v>179.51</v>
      </c>
    </row>
    <row r="126" spans="1:9">
      <c r="A126" s="5" t="s">
        <v>72</v>
      </c>
      <c r="B126" s="5" t="s">
        <v>17</v>
      </c>
      <c r="C126" s="5" t="s">
        <v>34</v>
      </c>
      <c r="D126" s="5" t="s">
        <v>15</v>
      </c>
      <c r="E126" s="6">
        <v>1277.8499999999999</v>
      </c>
      <c r="F126" s="6">
        <v>18</v>
      </c>
      <c r="G126" s="6">
        <v>0.2</v>
      </c>
      <c r="H126" s="7">
        <v>45613</v>
      </c>
      <c r="I126" s="6">
        <v>511.14</v>
      </c>
    </row>
    <row r="127" spans="1:9">
      <c r="A127" s="5" t="s">
        <v>70</v>
      </c>
      <c r="B127" s="5" t="s">
        <v>23</v>
      </c>
      <c r="C127" s="5" t="s">
        <v>24</v>
      </c>
      <c r="D127" s="5" t="s">
        <v>21</v>
      </c>
      <c r="E127" s="6">
        <v>706.73</v>
      </c>
      <c r="F127" s="6">
        <v>1</v>
      </c>
      <c r="G127" s="6">
        <v>0.15</v>
      </c>
      <c r="H127" s="7">
        <v>45613</v>
      </c>
      <c r="I127" s="6">
        <v>150.18</v>
      </c>
    </row>
    <row r="128" spans="1:9">
      <c r="A128" s="5" t="s">
        <v>65</v>
      </c>
      <c r="B128" s="5" t="s">
        <v>50</v>
      </c>
      <c r="C128" s="5" t="s">
        <v>18</v>
      </c>
      <c r="D128" s="5" t="s">
        <v>21</v>
      </c>
      <c r="E128" s="6">
        <v>1410.59</v>
      </c>
      <c r="F128" s="6">
        <v>15</v>
      </c>
      <c r="G128" s="6">
        <v>0</v>
      </c>
      <c r="H128" s="7">
        <v>45615</v>
      </c>
      <c r="I128" s="6">
        <v>352.65</v>
      </c>
    </row>
    <row r="129" spans="1:9">
      <c r="A129" s="5" t="s">
        <v>32</v>
      </c>
      <c r="B129" s="5" t="s">
        <v>61</v>
      </c>
      <c r="C129" s="5" t="s">
        <v>20</v>
      </c>
      <c r="D129" s="5" t="s">
        <v>27</v>
      </c>
      <c r="E129" s="6">
        <v>1350.33</v>
      </c>
      <c r="F129" s="6">
        <v>10</v>
      </c>
      <c r="G129" s="6">
        <v>0</v>
      </c>
      <c r="H129" s="7">
        <v>45615</v>
      </c>
      <c r="I129" s="6">
        <v>472.62</v>
      </c>
    </row>
    <row r="130" spans="1:9">
      <c r="A130" s="5" t="s">
        <v>41</v>
      </c>
      <c r="B130" s="5" t="s">
        <v>45</v>
      </c>
      <c r="C130" s="5" t="s">
        <v>18</v>
      </c>
      <c r="D130" s="5" t="s">
        <v>21</v>
      </c>
      <c r="E130" s="6">
        <v>919.18</v>
      </c>
      <c r="F130" s="6">
        <v>4</v>
      </c>
      <c r="G130" s="6">
        <v>0.15</v>
      </c>
      <c r="H130" s="7">
        <v>45615</v>
      </c>
      <c r="I130" s="6">
        <v>195.33</v>
      </c>
    </row>
    <row r="131" spans="1:9">
      <c r="A131" s="5" t="s">
        <v>74</v>
      </c>
      <c r="B131" s="5" t="s">
        <v>23</v>
      </c>
      <c r="C131" s="5" t="s">
        <v>11</v>
      </c>
      <c r="D131" s="5" t="s">
        <v>21</v>
      </c>
      <c r="E131" s="6">
        <v>258.51</v>
      </c>
      <c r="F131" s="6">
        <v>19</v>
      </c>
      <c r="G131" s="6">
        <v>0</v>
      </c>
      <c r="H131" s="7">
        <v>45616</v>
      </c>
      <c r="I131" s="6">
        <v>64.63</v>
      </c>
    </row>
    <row r="132" spans="1:9">
      <c r="A132" s="5" t="s">
        <v>63</v>
      </c>
      <c r="B132" s="5" t="s">
        <v>61</v>
      </c>
      <c r="C132" s="5" t="s">
        <v>18</v>
      </c>
      <c r="D132" s="5" t="s">
        <v>12</v>
      </c>
      <c r="E132" s="6">
        <v>1213.48</v>
      </c>
      <c r="F132" s="6">
        <v>5</v>
      </c>
      <c r="G132" s="6">
        <v>0.05</v>
      </c>
      <c r="H132" s="7">
        <v>45616</v>
      </c>
      <c r="I132" s="6">
        <v>461.12</v>
      </c>
    </row>
    <row r="133" spans="1:9">
      <c r="A133" s="5" t="s">
        <v>57</v>
      </c>
      <c r="B133" s="5" t="s">
        <v>38</v>
      </c>
      <c r="C133" s="5" t="s">
        <v>34</v>
      </c>
      <c r="D133" s="5" t="s">
        <v>12</v>
      </c>
      <c r="E133" s="6">
        <v>1150.28</v>
      </c>
      <c r="F133" s="6">
        <v>8</v>
      </c>
      <c r="G133" s="6">
        <v>0.05</v>
      </c>
      <c r="H133" s="7">
        <v>45622</v>
      </c>
      <c r="I133" s="6">
        <v>437.11</v>
      </c>
    </row>
    <row r="134" spans="1:9">
      <c r="A134" s="5" t="s">
        <v>37</v>
      </c>
      <c r="B134" s="5" t="s">
        <v>71</v>
      </c>
      <c r="C134" s="5" t="s">
        <v>20</v>
      </c>
      <c r="D134" s="5" t="s">
        <v>27</v>
      </c>
      <c r="E134" s="6">
        <v>853.86</v>
      </c>
      <c r="F134" s="6">
        <v>8</v>
      </c>
      <c r="G134" s="6">
        <v>0.1</v>
      </c>
      <c r="H134" s="7">
        <v>45622</v>
      </c>
      <c r="I134" s="6">
        <v>268.97000000000003</v>
      </c>
    </row>
    <row r="135" spans="1:9">
      <c r="A135" s="5" t="s">
        <v>75</v>
      </c>
      <c r="B135" s="5" t="s">
        <v>45</v>
      </c>
      <c r="C135" s="5" t="s">
        <v>20</v>
      </c>
      <c r="D135" s="5" t="s">
        <v>21</v>
      </c>
      <c r="E135" s="6">
        <v>1061.04</v>
      </c>
      <c r="F135" s="6">
        <v>1</v>
      </c>
      <c r="G135" s="6">
        <v>0</v>
      </c>
      <c r="H135" s="7">
        <v>45624</v>
      </c>
      <c r="I135" s="6">
        <v>265.26</v>
      </c>
    </row>
    <row r="136" spans="1:9">
      <c r="A136" s="5" t="s">
        <v>28</v>
      </c>
      <c r="B136" s="5" t="s">
        <v>43</v>
      </c>
      <c r="C136" s="5" t="s">
        <v>11</v>
      </c>
      <c r="D136" s="5" t="s">
        <v>21</v>
      </c>
      <c r="E136" s="6">
        <v>894.55</v>
      </c>
      <c r="F136" s="6">
        <v>19</v>
      </c>
      <c r="G136" s="6">
        <v>0.2</v>
      </c>
      <c r="H136" s="7">
        <v>45625</v>
      </c>
      <c r="I136" s="6">
        <v>178.91</v>
      </c>
    </row>
    <row r="137" spans="1:9">
      <c r="A137" s="5" t="s">
        <v>25</v>
      </c>
      <c r="B137" s="5" t="s">
        <v>38</v>
      </c>
      <c r="C137" s="5" t="s">
        <v>24</v>
      </c>
      <c r="D137" s="5" t="s">
        <v>39</v>
      </c>
      <c r="E137" s="6">
        <v>833.91</v>
      </c>
      <c r="F137" s="6">
        <v>3</v>
      </c>
      <c r="G137" s="6">
        <v>0.05</v>
      </c>
      <c r="H137" s="7">
        <v>45626</v>
      </c>
      <c r="I137" s="6">
        <v>356.5</v>
      </c>
    </row>
    <row r="138" spans="1:9">
      <c r="A138" s="5" t="s">
        <v>58</v>
      </c>
      <c r="B138" s="5" t="s">
        <v>71</v>
      </c>
      <c r="C138" s="5" t="s">
        <v>11</v>
      </c>
      <c r="D138" s="5" t="s">
        <v>27</v>
      </c>
      <c r="E138" s="6">
        <v>820.19</v>
      </c>
      <c r="F138" s="6">
        <v>4</v>
      </c>
      <c r="G138" s="6">
        <v>0.2</v>
      </c>
      <c r="H138" s="7">
        <v>45630</v>
      </c>
      <c r="I138" s="6">
        <v>229.65</v>
      </c>
    </row>
    <row r="139" spans="1:9">
      <c r="A139" s="5" t="s">
        <v>58</v>
      </c>
      <c r="B139" s="5" t="s">
        <v>38</v>
      </c>
      <c r="C139" s="5" t="s">
        <v>34</v>
      </c>
      <c r="D139" s="5" t="s">
        <v>21</v>
      </c>
      <c r="E139" s="6">
        <v>511.74</v>
      </c>
      <c r="F139" s="6">
        <v>8</v>
      </c>
      <c r="G139" s="6">
        <v>0.05</v>
      </c>
      <c r="H139" s="7">
        <v>45631</v>
      </c>
      <c r="I139" s="6">
        <v>121.54</v>
      </c>
    </row>
    <row r="140" spans="1:9">
      <c r="A140" s="5" t="s">
        <v>65</v>
      </c>
      <c r="B140" s="5" t="s">
        <v>61</v>
      </c>
      <c r="C140" s="5" t="s">
        <v>20</v>
      </c>
      <c r="D140" s="5" t="s">
        <v>27</v>
      </c>
      <c r="E140" s="6">
        <v>806.03</v>
      </c>
      <c r="F140" s="6">
        <v>19</v>
      </c>
      <c r="G140" s="6">
        <v>0.05</v>
      </c>
      <c r="H140" s="7">
        <v>45638</v>
      </c>
      <c r="I140" s="6">
        <v>268</v>
      </c>
    </row>
    <row r="141" spans="1:9">
      <c r="A141" s="5" t="s">
        <v>28</v>
      </c>
      <c r="B141" s="5" t="s">
        <v>26</v>
      </c>
      <c r="C141" s="5" t="s">
        <v>34</v>
      </c>
      <c r="D141" s="5" t="s">
        <v>27</v>
      </c>
      <c r="E141" s="6">
        <v>1432.47</v>
      </c>
      <c r="F141" s="6">
        <v>16</v>
      </c>
      <c r="G141" s="6">
        <v>0.15</v>
      </c>
      <c r="H141" s="7">
        <v>45640</v>
      </c>
      <c r="I141" s="6">
        <v>426.16</v>
      </c>
    </row>
    <row r="142" spans="1:9">
      <c r="A142" s="5" t="s">
        <v>74</v>
      </c>
      <c r="B142" s="5" t="s">
        <v>29</v>
      </c>
      <c r="C142" s="5" t="s">
        <v>34</v>
      </c>
      <c r="D142" s="5" t="s">
        <v>21</v>
      </c>
      <c r="E142" s="6">
        <v>1488.58</v>
      </c>
      <c r="F142" s="6">
        <v>10</v>
      </c>
      <c r="G142" s="6">
        <v>0.15</v>
      </c>
      <c r="H142" s="7">
        <v>45640</v>
      </c>
      <c r="I142" s="6">
        <v>316.32</v>
      </c>
    </row>
    <row r="143" spans="1:9">
      <c r="A143" s="5" t="s">
        <v>30</v>
      </c>
      <c r="B143" s="5" t="s">
        <v>66</v>
      </c>
      <c r="C143" s="5" t="s">
        <v>18</v>
      </c>
      <c r="D143" s="5" t="s">
        <v>12</v>
      </c>
      <c r="E143" s="6">
        <v>1231.26</v>
      </c>
      <c r="F143" s="6">
        <v>9</v>
      </c>
      <c r="G143" s="6">
        <v>0</v>
      </c>
      <c r="H143" s="7">
        <v>45646</v>
      </c>
      <c r="I143" s="6">
        <v>492.5</v>
      </c>
    </row>
    <row r="144" spans="1:9">
      <c r="A144" s="5" t="s">
        <v>30</v>
      </c>
      <c r="B144" s="5" t="s">
        <v>43</v>
      </c>
      <c r="C144" s="5" t="s">
        <v>11</v>
      </c>
      <c r="D144" s="5" t="s">
        <v>21</v>
      </c>
      <c r="E144" s="6">
        <v>1161.67</v>
      </c>
      <c r="F144" s="6">
        <v>19</v>
      </c>
      <c r="G144" s="6">
        <v>0.2</v>
      </c>
      <c r="H144" s="7">
        <v>45647</v>
      </c>
      <c r="I144" s="6">
        <v>232.33</v>
      </c>
    </row>
    <row r="145" spans="1:9">
      <c r="A145" s="5" t="s">
        <v>49</v>
      </c>
      <c r="B145" s="5" t="s">
        <v>45</v>
      </c>
      <c r="C145" s="5" t="s">
        <v>34</v>
      </c>
      <c r="D145" s="5" t="s">
        <v>39</v>
      </c>
      <c r="E145" s="6">
        <v>388.23</v>
      </c>
      <c r="F145" s="6">
        <v>16</v>
      </c>
      <c r="G145" s="6">
        <v>0.05</v>
      </c>
      <c r="H145" s="7">
        <v>45650</v>
      </c>
      <c r="I145" s="6">
        <v>165.97</v>
      </c>
    </row>
    <row r="146" spans="1:9">
      <c r="A146" s="5" t="s">
        <v>72</v>
      </c>
      <c r="B146" s="5" t="s">
        <v>31</v>
      </c>
      <c r="C146" s="5" t="s">
        <v>24</v>
      </c>
      <c r="D146" s="5" t="s">
        <v>15</v>
      </c>
      <c r="E146" s="6">
        <v>1589.42</v>
      </c>
      <c r="F146" s="6">
        <v>6</v>
      </c>
      <c r="G146" s="6">
        <v>0.15</v>
      </c>
      <c r="H146" s="7">
        <v>45651</v>
      </c>
      <c r="I146" s="6">
        <v>675.5</v>
      </c>
    </row>
    <row r="147" spans="1:9">
      <c r="A147" s="5" t="s">
        <v>28</v>
      </c>
      <c r="B147" s="5" t="s">
        <v>71</v>
      </c>
      <c r="C147" s="5" t="s">
        <v>24</v>
      </c>
      <c r="D147" s="5" t="s">
        <v>15</v>
      </c>
      <c r="E147" s="6">
        <v>336.66</v>
      </c>
      <c r="F147" s="6">
        <v>13</v>
      </c>
      <c r="G147" s="6">
        <v>0.2</v>
      </c>
      <c r="H147" s="7">
        <v>45651</v>
      </c>
      <c r="I147" s="6">
        <v>134.66</v>
      </c>
    </row>
    <row r="148" spans="1:9">
      <c r="A148" s="5" t="s">
        <v>49</v>
      </c>
      <c r="B148" s="5" t="s">
        <v>23</v>
      </c>
      <c r="C148" s="5" t="s">
        <v>11</v>
      </c>
      <c r="D148" s="5" t="s">
        <v>12</v>
      </c>
      <c r="E148" s="6">
        <v>1353.79</v>
      </c>
      <c r="F148" s="6">
        <v>14</v>
      </c>
      <c r="G148" s="6">
        <v>0.1</v>
      </c>
      <c r="H148" s="7">
        <v>45656</v>
      </c>
      <c r="I148" s="6">
        <v>487.36</v>
      </c>
    </row>
    <row r="149" spans="1:9">
      <c r="A149" s="5" t="s">
        <v>63</v>
      </c>
      <c r="B149" s="5" t="s">
        <v>69</v>
      </c>
      <c r="C149" s="5" t="s">
        <v>34</v>
      </c>
      <c r="D149" s="5" t="s">
        <v>15</v>
      </c>
      <c r="E149" s="6">
        <v>662.61</v>
      </c>
      <c r="F149" s="6">
        <v>11</v>
      </c>
      <c r="G149" s="6">
        <v>0.05</v>
      </c>
      <c r="H149" s="7">
        <v>45658</v>
      </c>
      <c r="I149" s="6">
        <v>314.74</v>
      </c>
    </row>
    <row r="150" spans="1:9">
      <c r="A150" s="5" t="s">
        <v>52</v>
      </c>
      <c r="B150" s="5" t="s">
        <v>48</v>
      </c>
      <c r="C150" s="5" t="s">
        <v>24</v>
      </c>
      <c r="D150" s="5" t="s">
        <v>39</v>
      </c>
      <c r="E150" s="6">
        <v>309.42</v>
      </c>
      <c r="F150" s="6">
        <v>1</v>
      </c>
      <c r="G150" s="6">
        <v>0.2</v>
      </c>
      <c r="H150" s="7">
        <v>45658</v>
      </c>
      <c r="I150" s="6">
        <v>111.39</v>
      </c>
    </row>
    <row r="151" spans="1:9">
      <c r="A151" s="5" t="s">
        <v>63</v>
      </c>
      <c r="B151" s="5" t="s">
        <v>29</v>
      </c>
      <c r="C151" s="5" t="s">
        <v>24</v>
      </c>
      <c r="D151" s="5" t="s">
        <v>12</v>
      </c>
      <c r="E151" s="6">
        <v>884.63</v>
      </c>
      <c r="F151" s="6">
        <v>18</v>
      </c>
      <c r="G151" s="6">
        <v>0.1</v>
      </c>
      <c r="H151" s="7">
        <v>45659</v>
      </c>
      <c r="I151" s="6">
        <v>318.47000000000003</v>
      </c>
    </row>
    <row r="152" spans="1:9">
      <c r="A152" s="5" t="s">
        <v>52</v>
      </c>
      <c r="B152" s="5" t="s">
        <v>23</v>
      </c>
      <c r="C152" s="5" t="s">
        <v>34</v>
      </c>
      <c r="D152" s="5" t="s">
        <v>39</v>
      </c>
      <c r="E152" s="6">
        <v>745.05</v>
      </c>
      <c r="F152" s="6">
        <v>10</v>
      </c>
      <c r="G152" s="6">
        <v>0.1</v>
      </c>
      <c r="H152" s="7">
        <v>45660</v>
      </c>
      <c r="I152" s="6">
        <v>301.75</v>
      </c>
    </row>
    <row r="153" spans="1:9">
      <c r="A153" s="5" t="s">
        <v>60</v>
      </c>
      <c r="B153" s="5" t="s">
        <v>17</v>
      </c>
      <c r="C153" s="5" t="s">
        <v>20</v>
      </c>
      <c r="D153" s="5" t="s">
        <v>15</v>
      </c>
      <c r="E153" s="6">
        <v>870.23</v>
      </c>
      <c r="F153" s="6">
        <v>5</v>
      </c>
      <c r="G153" s="6">
        <v>0.05</v>
      </c>
      <c r="H153" s="7">
        <v>45660</v>
      </c>
      <c r="I153" s="6">
        <v>413.36</v>
      </c>
    </row>
    <row r="154" spans="1:9">
      <c r="A154" s="5" t="s">
        <v>35</v>
      </c>
      <c r="B154" s="5" t="s">
        <v>29</v>
      </c>
      <c r="C154" s="5" t="s">
        <v>11</v>
      </c>
      <c r="D154" s="5" t="s">
        <v>27</v>
      </c>
      <c r="E154" s="6">
        <v>862.19</v>
      </c>
      <c r="F154" s="6">
        <v>18</v>
      </c>
      <c r="G154" s="6">
        <v>0.05</v>
      </c>
      <c r="H154" s="7">
        <v>45663</v>
      </c>
      <c r="I154" s="6">
        <v>286.68</v>
      </c>
    </row>
    <row r="155" spans="1:9">
      <c r="A155" s="5" t="s">
        <v>73</v>
      </c>
      <c r="B155" s="5" t="s">
        <v>59</v>
      </c>
      <c r="C155" s="5" t="s">
        <v>24</v>
      </c>
      <c r="D155" s="5" t="s">
        <v>15</v>
      </c>
      <c r="E155" s="6">
        <v>1171.18</v>
      </c>
      <c r="F155" s="6">
        <v>19</v>
      </c>
      <c r="G155" s="6">
        <v>0.05</v>
      </c>
      <c r="H155" s="7">
        <v>45667</v>
      </c>
      <c r="I155" s="6">
        <v>556.30999999999995</v>
      </c>
    </row>
    <row r="156" spans="1:9">
      <c r="A156" s="5" t="s">
        <v>58</v>
      </c>
      <c r="B156" s="5" t="s">
        <v>14</v>
      </c>
      <c r="C156" s="5" t="s">
        <v>20</v>
      </c>
      <c r="D156" s="5" t="s">
        <v>27</v>
      </c>
      <c r="E156" s="6">
        <v>1054.56</v>
      </c>
      <c r="F156" s="6">
        <v>11</v>
      </c>
      <c r="G156" s="6">
        <v>0.1</v>
      </c>
      <c r="H156" s="7">
        <v>45669</v>
      </c>
      <c r="I156" s="6">
        <v>332.19</v>
      </c>
    </row>
    <row r="157" spans="1:9">
      <c r="A157" s="5" t="s">
        <v>58</v>
      </c>
      <c r="B157" s="5" t="s">
        <v>23</v>
      </c>
      <c r="C157" s="5" t="s">
        <v>24</v>
      </c>
      <c r="D157" s="5" t="s">
        <v>21</v>
      </c>
      <c r="E157" s="6">
        <v>1681.21</v>
      </c>
      <c r="F157" s="6">
        <v>5</v>
      </c>
      <c r="G157" s="6">
        <v>0.2</v>
      </c>
      <c r="H157" s="7">
        <v>45670</v>
      </c>
      <c r="I157" s="6">
        <v>336.24</v>
      </c>
    </row>
    <row r="158" spans="1:9">
      <c r="A158" s="5" t="s">
        <v>58</v>
      </c>
      <c r="B158" s="5" t="s">
        <v>36</v>
      </c>
      <c r="C158" s="5" t="s">
        <v>11</v>
      </c>
      <c r="D158" s="5" t="s">
        <v>15</v>
      </c>
      <c r="E158" s="6">
        <v>379.77</v>
      </c>
      <c r="F158" s="6">
        <v>9</v>
      </c>
      <c r="G158" s="6">
        <v>0.05</v>
      </c>
      <c r="H158" s="7">
        <v>45673</v>
      </c>
      <c r="I158" s="6">
        <v>180.39</v>
      </c>
    </row>
    <row r="159" spans="1:9">
      <c r="A159" s="5" t="s">
        <v>44</v>
      </c>
      <c r="B159" s="5" t="s">
        <v>45</v>
      </c>
      <c r="C159" s="5" t="s">
        <v>34</v>
      </c>
      <c r="D159" s="5" t="s">
        <v>15</v>
      </c>
      <c r="E159" s="6">
        <v>1076.33</v>
      </c>
      <c r="F159" s="6">
        <v>2</v>
      </c>
      <c r="G159" s="6">
        <v>0.1</v>
      </c>
      <c r="H159" s="7">
        <v>45674</v>
      </c>
      <c r="I159" s="6">
        <v>484.35</v>
      </c>
    </row>
    <row r="160" spans="1:9">
      <c r="A160" s="5" t="s">
        <v>44</v>
      </c>
      <c r="B160" s="5" t="s">
        <v>31</v>
      </c>
      <c r="C160" s="5" t="s">
        <v>34</v>
      </c>
      <c r="D160" s="5" t="s">
        <v>39</v>
      </c>
      <c r="E160" s="6">
        <v>1250.71</v>
      </c>
      <c r="F160" s="6">
        <v>7</v>
      </c>
      <c r="G160" s="6">
        <v>0</v>
      </c>
      <c r="H160" s="7">
        <v>45674</v>
      </c>
      <c r="I160" s="6">
        <v>562.82000000000005</v>
      </c>
    </row>
    <row r="161" spans="1:9">
      <c r="A161" s="5" t="s">
        <v>40</v>
      </c>
      <c r="B161" s="5" t="s">
        <v>17</v>
      </c>
      <c r="C161" s="5" t="s">
        <v>20</v>
      </c>
      <c r="D161" s="5" t="s">
        <v>15</v>
      </c>
      <c r="E161" s="6">
        <v>1118.3399999999999</v>
      </c>
      <c r="F161" s="6">
        <v>6</v>
      </c>
      <c r="G161" s="6">
        <v>0.2</v>
      </c>
      <c r="H161" s="7">
        <v>45674</v>
      </c>
      <c r="I161" s="6">
        <v>447.34</v>
      </c>
    </row>
    <row r="162" spans="1:9">
      <c r="A162" s="5" t="s">
        <v>70</v>
      </c>
      <c r="B162" s="5" t="s">
        <v>53</v>
      </c>
      <c r="C162" s="5" t="s">
        <v>24</v>
      </c>
      <c r="D162" s="5" t="s">
        <v>15</v>
      </c>
      <c r="E162" s="6">
        <v>1622.62</v>
      </c>
      <c r="F162" s="6">
        <v>12</v>
      </c>
      <c r="G162" s="6">
        <v>0.2</v>
      </c>
      <c r="H162" s="7">
        <v>45677</v>
      </c>
      <c r="I162" s="6">
        <v>649.04999999999995</v>
      </c>
    </row>
    <row r="163" spans="1:9">
      <c r="A163" s="5" t="s">
        <v>75</v>
      </c>
      <c r="B163" s="5" t="s">
        <v>48</v>
      </c>
      <c r="C163" s="5" t="s">
        <v>24</v>
      </c>
      <c r="D163" s="5" t="s">
        <v>12</v>
      </c>
      <c r="E163" s="6">
        <v>640.64</v>
      </c>
      <c r="F163" s="6">
        <v>11</v>
      </c>
      <c r="G163" s="6">
        <v>0.2</v>
      </c>
      <c r="H163" s="7">
        <v>45678</v>
      </c>
      <c r="I163" s="6">
        <v>205</v>
      </c>
    </row>
    <row r="164" spans="1:9">
      <c r="A164" s="5" t="s">
        <v>22</v>
      </c>
      <c r="B164" s="5" t="s">
        <v>43</v>
      </c>
      <c r="C164" s="5" t="s">
        <v>11</v>
      </c>
      <c r="D164" s="5" t="s">
        <v>15</v>
      </c>
      <c r="E164" s="6">
        <v>585.16</v>
      </c>
      <c r="F164" s="6">
        <v>17</v>
      </c>
      <c r="G164" s="6">
        <v>0.1</v>
      </c>
      <c r="H164" s="7">
        <v>45684</v>
      </c>
      <c r="I164" s="6">
        <v>263.32</v>
      </c>
    </row>
    <row r="165" spans="1:9">
      <c r="A165" s="5" t="s">
        <v>22</v>
      </c>
      <c r="B165" s="5" t="s">
        <v>31</v>
      </c>
      <c r="C165" s="5" t="s">
        <v>18</v>
      </c>
      <c r="D165" s="5" t="s">
        <v>15</v>
      </c>
      <c r="E165" s="6">
        <v>1109.98</v>
      </c>
      <c r="F165" s="6">
        <v>5</v>
      </c>
      <c r="G165" s="6">
        <v>0.2</v>
      </c>
      <c r="H165" s="7">
        <v>45690</v>
      </c>
      <c r="I165" s="6">
        <v>443.99</v>
      </c>
    </row>
    <row r="166" spans="1:9">
      <c r="A166" s="5" t="s">
        <v>58</v>
      </c>
      <c r="B166" s="5" t="s">
        <v>45</v>
      </c>
      <c r="C166" s="5" t="s">
        <v>18</v>
      </c>
      <c r="D166" s="5" t="s">
        <v>12</v>
      </c>
      <c r="E166" s="6">
        <v>1098.08</v>
      </c>
      <c r="F166" s="6">
        <v>9</v>
      </c>
      <c r="G166" s="6">
        <v>0.1</v>
      </c>
      <c r="H166" s="7">
        <v>45692</v>
      </c>
      <c r="I166" s="6">
        <v>395.31</v>
      </c>
    </row>
    <row r="167" spans="1:9">
      <c r="A167" s="5" t="s">
        <v>65</v>
      </c>
      <c r="B167" s="5" t="s">
        <v>48</v>
      </c>
      <c r="C167" s="5" t="s">
        <v>11</v>
      </c>
      <c r="D167" s="5" t="s">
        <v>39</v>
      </c>
      <c r="E167" s="6">
        <v>827.25</v>
      </c>
      <c r="F167" s="6">
        <v>7</v>
      </c>
      <c r="G167" s="6">
        <v>0.1</v>
      </c>
      <c r="H167" s="7">
        <v>45693</v>
      </c>
      <c r="I167" s="6">
        <v>335.04</v>
      </c>
    </row>
    <row r="168" spans="1:9">
      <c r="A168" s="5" t="s">
        <v>70</v>
      </c>
      <c r="B168" s="5" t="s">
        <v>29</v>
      </c>
      <c r="C168" s="5" t="s">
        <v>34</v>
      </c>
      <c r="D168" s="5" t="s">
        <v>15</v>
      </c>
      <c r="E168" s="6">
        <v>741.88</v>
      </c>
      <c r="F168" s="6">
        <v>16</v>
      </c>
      <c r="G168" s="6">
        <v>0.1</v>
      </c>
      <c r="H168" s="7">
        <v>45695</v>
      </c>
      <c r="I168" s="6">
        <v>333.85</v>
      </c>
    </row>
    <row r="169" spans="1:9">
      <c r="A169" s="5" t="s">
        <v>72</v>
      </c>
      <c r="B169" s="5" t="s">
        <v>10</v>
      </c>
      <c r="C169" s="5" t="s">
        <v>18</v>
      </c>
      <c r="D169" s="5" t="s">
        <v>39</v>
      </c>
      <c r="E169" s="6">
        <v>1311.26</v>
      </c>
      <c r="F169" s="6">
        <v>6</v>
      </c>
      <c r="G169" s="6">
        <v>0.1</v>
      </c>
      <c r="H169" s="7">
        <v>45698</v>
      </c>
      <c r="I169" s="6">
        <v>531.05999999999995</v>
      </c>
    </row>
    <row r="170" spans="1:9">
      <c r="A170" s="5" t="s">
        <v>72</v>
      </c>
      <c r="B170" s="5" t="s">
        <v>31</v>
      </c>
      <c r="C170" s="5" t="s">
        <v>20</v>
      </c>
      <c r="D170" s="5" t="s">
        <v>39</v>
      </c>
      <c r="E170" s="6">
        <v>573.32000000000005</v>
      </c>
      <c r="F170" s="6">
        <v>19</v>
      </c>
      <c r="G170" s="6">
        <v>0.1</v>
      </c>
      <c r="H170" s="7">
        <v>45703</v>
      </c>
      <c r="I170" s="6">
        <v>232.19</v>
      </c>
    </row>
    <row r="171" spans="1:9">
      <c r="A171" s="5" t="s">
        <v>52</v>
      </c>
      <c r="B171" s="5" t="s">
        <v>23</v>
      </c>
      <c r="C171" s="5" t="s">
        <v>11</v>
      </c>
      <c r="D171" s="5" t="s">
        <v>21</v>
      </c>
      <c r="E171" s="6">
        <v>1115.22</v>
      </c>
      <c r="F171" s="6">
        <v>14</v>
      </c>
      <c r="G171" s="6">
        <v>0.2</v>
      </c>
      <c r="H171" s="7">
        <v>45705</v>
      </c>
      <c r="I171" s="6">
        <v>223.04</v>
      </c>
    </row>
    <row r="172" spans="1:9">
      <c r="A172" s="5" t="s">
        <v>13</v>
      </c>
      <c r="B172" s="5" t="s">
        <v>45</v>
      </c>
      <c r="C172" s="5" t="s">
        <v>24</v>
      </c>
      <c r="D172" s="5" t="s">
        <v>15</v>
      </c>
      <c r="E172" s="6">
        <v>845.84</v>
      </c>
      <c r="F172" s="6">
        <v>4</v>
      </c>
      <c r="G172" s="6">
        <v>0</v>
      </c>
      <c r="H172" s="7">
        <v>45707</v>
      </c>
      <c r="I172" s="6">
        <v>422.92</v>
      </c>
    </row>
    <row r="173" spans="1:9">
      <c r="A173" s="5" t="s">
        <v>30</v>
      </c>
      <c r="B173" s="5" t="s">
        <v>55</v>
      </c>
      <c r="C173" s="5" t="s">
        <v>11</v>
      </c>
      <c r="D173" s="5" t="s">
        <v>21</v>
      </c>
      <c r="E173" s="6">
        <v>1029.8</v>
      </c>
      <c r="F173" s="6">
        <v>3</v>
      </c>
      <c r="G173" s="6">
        <v>0</v>
      </c>
      <c r="H173" s="7">
        <v>45708</v>
      </c>
      <c r="I173" s="6">
        <v>257.45</v>
      </c>
    </row>
    <row r="174" spans="1:9">
      <c r="A174" s="5" t="s">
        <v>32</v>
      </c>
      <c r="B174" s="5" t="s">
        <v>31</v>
      </c>
      <c r="C174" s="5" t="s">
        <v>24</v>
      </c>
      <c r="D174" s="5" t="s">
        <v>12</v>
      </c>
      <c r="E174" s="6">
        <v>1189.83</v>
      </c>
      <c r="F174" s="6">
        <v>2</v>
      </c>
      <c r="G174" s="6">
        <v>0.2</v>
      </c>
      <c r="H174" s="7">
        <v>45709</v>
      </c>
      <c r="I174" s="6">
        <v>380.75</v>
      </c>
    </row>
    <row r="175" spans="1:9">
      <c r="A175" s="5" t="s">
        <v>67</v>
      </c>
      <c r="B175" s="5" t="s">
        <v>43</v>
      </c>
      <c r="C175" s="5" t="s">
        <v>20</v>
      </c>
      <c r="D175" s="5" t="s">
        <v>12</v>
      </c>
      <c r="E175" s="6">
        <v>704.28</v>
      </c>
      <c r="F175" s="6">
        <v>15</v>
      </c>
      <c r="G175" s="6">
        <v>0.2</v>
      </c>
      <c r="H175" s="7">
        <v>45712</v>
      </c>
      <c r="I175" s="6">
        <v>225.37</v>
      </c>
    </row>
    <row r="176" spans="1:9">
      <c r="A176" s="5" t="s">
        <v>65</v>
      </c>
      <c r="B176" s="5" t="s">
        <v>47</v>
      </c>
      <c r="C176" s="5" t="s">
        <v>34</v>
      </c>
      <c r="D176" s="5" t="s">
        <v>39</v>
      </c>
      <c r="E176" s="6">
        <v>1618.22</v>
      </c>
      <c r="F176" s="6">
        <v>12</v>
      </c>
      <c r="G176" s="6">
        <v>0.2</v>
      </c>
      <c r="H176" s="7">
        <v>45712</v>
      </c>
      <c r="I176" s="6">
        <v>582.55999999999995</v>
      </c>
    </row>
    <row r="177" spans="1:9">
      <c r="A177" s="5" t="s">
        <v>73</v>
      </c>
      <c r="B177" s="5" t="s">
        <v>53</v>
      </c>
      <c r="C177" s="5" t="s">
        <v>34</v>
      </c>
      <c r="D177" s="5" t="s">
        <v>12</v>
      </c>
      <c r="E177" s="6">
        <v>1014.43</v>
      </c>
      <c r="F177" s="6">
        <v>2</v>
      </c>
      <c r="G177" s="6">
        <v>0.15</v>
      </c>
      <c r="H177" s="7">
        <v>45713</v>
      </c>
      <c r="I177" s="6">
        <v>344.91</v>
      </c>
    </row>
    <row r="178" spans="1:9">
      <c r="A178" s="5" t="s">
        <v>75</v>
      </c>
      <c r="B178" s="5" t="s">
        <v>31</v>
      </c>
      <c r="C178" s="5" t="s">
        <v>34</v>
      </c>
      <c r="D178" s="5" t="s">
        <v>15</v>
      </c>
      <c r="E178" s="6">
        <v>826.97</v>
      </c>
      <c r="F178" s="6">
        <v>18</v>
      </c>
      <c r="G178" s="6">
        <v>0.2</v>
      </c>
      <c r="H178" s="7">
        <v>45715</v>
      </c>
      <c r="I178" s="6">
        <v>330.79</v>
      </c>
    </row>
    <row r="179" spans="1:9">
      <c r="A179" s="5" t="s">
        <v>16</v>
      </c>
      <c r="B179" s="5" t="s">
        <v>31</v>
      </c>
      <c r="C179" s="5" t="s">
        <v>34</v>
      </c>
      <c r="D179" s="5" t="s">
        <v>15</v>
      </c>
      <c r="E179" s="6">
        <v>1022.23</v>
      </c>
      <c r="F179" s="6">
        <v>8</v>
      </c>
      <c r="G179" s="6">
        <v>0.1</v>
      </c>
      <c r="H179" s="7">
        <v>45717</v>
      </c>
      <c r="I179" s="6">
        <v>460</v>
      </c>
    </row>
    <row r="180" spans="1:9">
      <c r="A180" s="5" t="s">
        <v>72</v>
      </c>
      <c r="B180" s="5" t="s">
        <v>29</v>
      </c>
      <c r="C180" s="5" t="s">
        <v>18</v>
      </c>
      <c r="D180" s="5" t="s">
        <v>12</v>
      </c>
      <c r="E180" s="6">
        <v>1099.69</v>
      </c>
      <c r="F180" s="6">
        <v>6</v>
      </c>
      <c r="G180" s="6">
        <v>0</v>
      </c>
      <c r="H180" s="7">
        <v>45718</v>
      </c>
      <c r="I180" s="6">
        <v>439.88</v>
      </c>
    </row>
    <row r="181" spans="1:9">
      <c r="A181" s="5" t="s">
        <v>52</v>
      </c>
      <c r="B181" s="5" t="s">
        <v>64</v>
      </c>
      <c r="C181" s="5" t="s">
        <v>24</v>
      </c>
      <c r="D181" s="5" t="s">
        <v>12</v>
      </c>
      <c r="E181" s="6">
        <v>710.52</v>
      </c>
      <c r="F181" s="6">
        <v>8</v>
      </c>
      <c r="G181" s="6">
        <v>0.1</v>
      </c>
      <c r="H181" s="7">
        <v>45721</v>
      </c>
      <c r="I181" s="6">
        <v>255.79</v>
      </c>
    </row>
    <row r="182" spans="1:9">
      <c r="A182" s="5" t="s">
        <v>52</v>
      </c>
      <c r="B182" s="5" t="s">
        <v>59</v>
      </c>
      <c r="C182" s="5" t="s">
        <v>24</v>
      </c>
      <c r="D182" s="5" t="s">
        <v>12</v>
      </c>
      <c r="E182" s="6">
        <v>499.18</v>
      </c>
      <c r="F182" s="6">
        <v>15</v>
      </c>
      <c r="G182" s="6">
        <v>0.2</v>
      </c>
      <c r="H182" s="7">
        <v>45724</v>
      </c>
      <c r="I182" s="6">
        <v>159.74</v>
      </c>
    </row>
    <row r="183" spans="1:9">
      <c r="A183" s="5" t="s">
        <v>37</v>
      </c>
      <c r="B183" s="5" t="s">
        <v>38</v>
      </c>
      <c r="C183" s="5" t="s">
        <v>20</v>
      </c>
      <c r="D183" s="5" t="s">
        <v>12</v>
      </c>
      <c r="E183" s="6">
        <v>1064.19</v>
      </c>
      <c r="F183" s="6">
        <v>18</v>
      </c>
      <c r="G183" s="6">
        <v>0.05</v>
      </c>
      <c r="H183" s="7">
        <v>45725</v>
      </c>
      <c r="I183" s="6">
        <v>404.39</v>
      </c>
    </row>
    <row r="184" spans="1:9">
      <c r="A184" s="5" t="s">
        <v>67</v>
      </c>
      <c r="B184" s="5" t="s">
        <v>38</v>
      </c>
      <c r="C184" s="5" t="s">
        <v>18</v>
      </c>
      <c r="D184" s="5" t="s">
        <v>39</v>
      </c>
      <c r="E184" s="6">
        <v>438.76</v>
      </c>
      <c r="F184" s="6">
        <v>18</v>
      </c>
      <c r="G184" s="6">
        <v>0.05</v>
      </c>
      <c r="H184" s="7">
        <v>45726</v>
      </c>
      <c r="I184" s="6">
        <v>187.57</v>
      </c>
    </row>
    <row r="185" spans="1:9">
      <c r="A185" s="5" t="s">
        <v>41</v>
      </c>
      <c r="B185" s="5" t="s">
        <v>55</v>
      </c>
      <c r="C185" s="5" t="s">
        <v>11</v>
      </c>
      <c r="D185" s="5" t="s">
        <v>15</v>
      </c>
      <c r="E185" s="6">
        <v>864.98</v>
      </c>
      <c r="F185" s="6">
        <v>2</v>
      </c>
      <c r="G185" s="6">
        <v>0.05</v>
      </c>
      <c r="H185" s="7">
        <v>45727</v>
      </c>
      <c r="I185" s="6">
        <v>410.87</v>
      </c>
    </row>
    <row r="186" spans="1:9">
      <c r="A186" s="5" t="s">
        <v>57</v>
      </c>
      <c r="B186" s="5" t="s">
        <v>55</v>
      </c>
      <c r="C186" s="5" t="s">
        <v>11</v>
      </c>
      <c r="D186" s="5" t="s">
        <v>27</v>
      </c>
      <c r="E186" s="6">
        <v>984.93</v>
      </c>
      <c r="F186" s="6">
        <v>14</v>
      </c>
      <c r="G186" s="6">
        <v>0.2</v>
      </c>
      <c r="H186" s="7">
        <v>45733</v>
      </c>
      <c r="I186" s="6">
        <v>275.77999999999997</v>
      </c>
    </row>
    <row r="187" spans="1:9">
      <c r="A187" s="5" t="s">
        <v>25</v>
      </c>
      <c r="B187" s="5" t="s">
        <v>55</v>
      </c>
      <c r="C187" s="5" t="s">
        <v>11</v>
      </c>
      <c r="D187" s="5" t="s">
        <v>15</v>
      </c>
      <c r="E187" s="6">
        <v>1493.49</v>
      </c>
      <c r="F187" s="6">
        <v>18</v>
      </c>
      <c r="G187" s="6">
        <v>0</v>
      </c>
      <c r="H187" s="7">
        <v>45734</v>
      </c>
      <c r="I187" s="6">
        <v>746.74</v>
      </c>
    </row>
    <row r="188" spans="1:9">
      <c r="A188" s="5" t="s">
        <v>32</v>
      </c>
      <c r="B188" s="5" t="s">
        <v>53</v>
      </c>
      <c r="C188" s="5" t="s">
        <v>20</v>
      </c>
      <c r="D188" s="5" t="s">
        <v>15</v>
      </c>
      <c r="E188" s="6">
        <v>689.43</v>
      </c>
      <c r="F188" s="6">
        <v>9</v>
      </c>
      <c r="G188" s="6">
        <v>0.1</v>
      </c>
      <c r="H188" s="7">
        <v>45736</v>
      </c>
      <c r="I188" s="6">
        <v>310.24</v>
      </c>
    </row>
    <row r="189" spans="1:9">
      <c r="A189" s="5" t="s">
        <v>40</v>
      </c>
      <c r="B189" s="5" t="s">
        <v>59</v>
      </c>
      <c r="C189" s="5" t="s">
        <v>20</v>
      </c>
      <c r="D189" s="5" t="s">
        <v>15</v>
      </c>
      <c r="E189" s="6">
        <v>682.24</v>
      </c>
      <c r="F189" s="6">
        <v>1</v>
      </c>
      <c r="G189" s="6">
        <v>0</v>
      </c>
      <c r="H189" s="7">
        <v>45738</v>
      </c>
      <c r="I189" s="6">
        <v>341.12</v>
      </c>
    </row>
    <row r="190" spans="1:9">
      <c r="A190" s="5" t="s">
        <v>41</v>
      </c>
      <c r="B190" s="5" t="s">
        <v>26</v>
      </c>
      <c r="C190" s="5" t="s">
        <v>24</v>
      </c>
      <c r="D190" s="5" t="s">
        <v>21</v>
      </c>
      <c r="E190" s="6">
        <v>458.54</v>
      </c>
      <c r="F190" s="6">
        <v>15</v>
      </c>
      <c r="G190" s="6">
        <v>0.2</v>
      </c>
      <c r="H190" s="7">
        <v>45741</v>
      </c>
      <c r="I190" s="6">
        <v>91.71</v>
      </c>
    </row>
    <row r="191" spans="1:9">
      <c r="A191" s="5" t="s">
        <v>32</v>
      </c>
      <c r="B191" s="5" t="s">
        <v>26</v>
      </c>
      <c r="C191" s="5" t="s">
        <v>20</v>
      </c>
      <c r="D191" s="5" t="s">
        <v>27</v>
      </c>
      <c r="E191" s="6">
        <v>1184.25</v>
      </c>
      <c r="F191" s="6">
        <v>11</v>
      </c>
      <c r="G191" s="6">
        <v>0.2</v>
      </c>
      <c r="H191" s="7">
        <v>45742</v>
      </c>
      <c r="I191" s="6">
        <v>331.59</v>
      </c>
    </row>
    <row r="192" spans="1:9">
      <c r="A192" s="5" t="s">
        <v>25</v>
      </c>
      <c r="B192" s="5" t="s">
        <v>10</v>
      </c>
      <c r="C192" s="5" t="s">
        <v>20</v>
      </c>
      <c r="D192" s="5" t="s">
        <v>15</v>
      </c>
      <c r="E192" s="6">
        <v>762.14</v>
      </c>
      <c r="F192" s="6">
        <v>9</v>
      </c>
      <c r="G192" s="6">
        <v>0</v>
      </c>
      <c r="H192" s="7">
        <v>45743</v>
      </c>
      <c r="I192" s="6">
        <v>381.07</v>
      </c>
    </row>
    <row r="193" spans="1:9">
      <c r="A193" s="5" t="s">
        <v>22</v>
      </c>
      <c r="B193" s="5" t="s">
        <v>53</v>
      </c>
      <c r="C193" s="5" t="s">
        <v>24</v>
      </c>
      <c r="D193" s="5" t="s">
        <v>12</v>
      </c>
      <c r="E193" s="6">
        <v>750.71</v>
      </c>
      <c r="F193" s="6">
        <v>10</v>
      </c>
      <c r="G193" s="6">
        <v>0.15</v>
      </c>
      <c r="H193" s="7">
        <v>45743</v>
      </c>
      <c r="I193" s="6">
        <v>255.24</v>
      </c>
    </row>
    <row r="194" spans="1:9">
      <c r="A194" s="5" t="s">
        <v>75</v>
      </c>
      <c r="B194" s="5" t="s">
        <v>71</v>
      </c>
      <c r="C194" s="5" t="s">
        <v>34</v>
      </c>
      <c r="D194" s="5" t="s">
        <v>15</v>
      </c>
      <c r="E194" s="6">
        <v>1456.94</v>
      </c>
      <c r="F194" s="6">
        <v>14</v>
      </c>
      <c r="G194" s="6">
        <v>0.05</v>
      </c>
      <c r="H194" s="7">
        <v>45745</v>
      </c>
      <c r="I194" s="6">
        <v>692.05</v>
      </c>
    </row>
    <row r="195" spans="1:9">
      <c r="A195" s="5" t="s">
        <v>44</v>
      </c>
      <c r="B195" s="5" t="s">
        <v>61</v>
      </c>
      <c r="C195" s="5" t="s">
        <v>18</v>
      </c>
      <c r="D195" s="5" t="s">
        <v>27</v>
      </c>
      <c r="E195" s="6">
        <v>1093.3800000000001</v>
      </c>
      <c r="F195" s="6">
        <v>17</v>
      </c>
      <c r="G195" s="6">
        <v>0.1</v>
      </c>
      <c r="H195" s="7">
        <v>45745</v>
      </c>
      <c r="I195" s="6">
        <v>344.41</v>
      </c>
    </row>
    <row r="196" spans="1:9">
      <c r="A196" s="5" t="s">
        <v>37</v>
      </c>
      <c r="B196" s="5" t="s">
        <v>43</v>
      </c>
      <c r="C196" s="5" t="s">
        <v>11</v>
      </c>
      <c r="D196" s="5" t="s">
        <v>15</v>
      </c>
      <c r="E196" s="6">
        <v>934.27</v>
      </c>
      <c r="F196" s="6">
        <v>8</v>
      </c>
      <c r="G196" s="6">
        <v>0.15</v>
      </c>
      <c r="H196" s="7">
        <v>45746</v>
      </c>
      <c r="I196" s="6">
        <v>397.06</v>
      </c>
    </row>
    <row r="197" spans="1:9">
      <c r="A197" s="5" t="s">
        <v>70</v>
      </c>
      <c r="B197" s="5" t="s">
        <v>36</v>
      </c>
      <c r="C197" s="5" t="s">
        <v>34</v>
      </c>
      <c r="D197" s="5" t="s">
        <v>15</v>
      </c>
      <c r="E197" s="6">
        <v>1465.35</v>
      </c>
      <c r="F197" s="6">
        <v>8</v>
      </c>
      <c r="G197" s="6">
        <v>0.2</v>
      </c>
      <c r="H197" s="7">
        <v>45746</v>
      </c>
      <c r="I197" s="6">
        <v>586.14</v>
      </c>
    </row>
    <row r="198" spans="1:9">
      <c r="A198" s="5" t="s">
        <v>52</v>
      </c>
      <c r="B198" s="5" t="s">
        <v>14</v>
      </c>
      <c r="C198" s="5" t="s">
        <v>20</v>
      </c>
      <c r="D198" s="5" t="s">
        <v>39</v>
      </c>
      <c r="E198" s="6">
        <v>740.8</v>
      </c>
      <c r="F198" s="6">
        <v>3</v>
      </c>
      <c r="G198" s="6">
        <v>0</v>
      </c>
      <c r="H198" s="7">
        <v>45749</v>
      </c>
      <c r="I198" s="6">
        <v>333.36</v>
      </c>
    </row>
    <row r="199" spans="1:9">
      <c r="A199" s="5" t="s">
        <v>58</v>
      </c>
      <c r="B199" s="5" t="s">
        <v>43</v>
      </c>
      <c r="C199" s="5" t="s">
        <v>11</v>
      </c>
      <c r="D199" s="5" t="s">
        <v>39</v>
      </c>
      <c r="E199" s="6">
        <v>545.44000000000005</v>
      </c>
      <c r="F199" s="6">
        <v>17</v>
      </c>
      <c r="G199" s="6">
        <v>0</v>
      </c>
      <c r="H199" s="7">
        <v>45752</v>
      </c>
      <c r="I199" s="6">
        <v>245.45</v>
      </c>
    </row>
    <row r="200" spans="1:9">
      <c r="A200" s="5" t="s">
        <v>35</v>
      </c>
      <c r="B200" s="5" t="s">
        <v>36</v>
      </c>
      <c r="C200" s="5" t="s">
        <v>18</v>
      </c>
      <c r="D200" s="5" t="s">
        <v>12</v>
      </c>
      <c r="E200" s="6">
        <v>997.61</v>
      </c>
      <c r="F200" s="6">
        <v>8</v>
      </c>
      <c r="G200" s="6">
        <v>0.05</v>
      </c>
      <c r="H200" s="7">
        <v>45752</v>
      </c>
      <c r="I200" s="6">
        <v>379.09</v>
      </c>
    </row>
    <row r="201" spans="1:9">
      <c r="A201" s="5" t="s">
        <v>60</v>
      </c>
      <c r="B201" s="5" t="s">
        <v>36</v>
      </c>
      <c r="C201" s="5" t="s">
        <v>20</v>
      </c>
      <c r="D201" s="5" t="s">
        <v>15</v>
      </c>
      <c r="E201" s="6">
        <v>928.32</v>
      </c>
      <c r="F201" s="6">
        <v>2</v>
      </c>
      <c r="G201" s="6">
        <v>0.05</v>
      </c>
      <c r="H201" s="7">
        <v>45754</v>
      </c>
      <c r="I201" s="6">
        <v>440.95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6"/>
  <sheetViews>
    <sheetView tabSelected="1" topLeftCell="A37" zoomScale="70" zoomScaleNormal="70" workbookViewId="0">
      <selection activeCell="I56" sqref="I56"/>
    </sheetView>
  </sheetViews>
  <sheetFormatPr defaultColWidth="9" defaultRowHeight="14.4"/>
  <cols>
    <col min="1" max="1" width="20.88671875" customWidth="1"/>
    <col min="2" max="2" width="22.5546875" customWidth="1"/>
    <col min="3" max="3" width="17.21875" customWidth="1"/>
    <col min="4" max="4" width="22.109375" customWidth="1"/>
    <col min="5" max="5" width="28.88671875" customWidth="1"/>
    <col min="6" max="6" width="26.6640625" customWidth="1"/>
    <col min="7" max="7" width="14.21875" customWidth="1"/>
    <col min="8" max="8" width="22.33203125" customWidth="1"/>
    <col min="9" max="9" width="22.44140625" customWidth="1"/>
    <col min="10" max="10" width="16.109375" customWidth="1"/>
    <col min="11" max="11" width="16.88671875" customWidth="1"/>
    <col min="12" max="12" width="15" customWidth="1"/>
    <col min="13" max="13" width="15.21875" customWidth="1"/>
    <col min="14" max="16" width="12.109375" customWidth="1"/>
    <col min="18" max="18" width="16.77734375" bestFit="1" customWidth="1"/>
    <col min="19" max="19" width="13.5546875" bestFit="1" customWidth="1"/>
  </cols>
  <sheetData>
    <row r="1" spans="1:14" ht="18.600000000000001" thickBot="1">
      <c r="A1" s="48" t="s">
        <v>131</v>
      </c>
      <c r="B1" s="48"/>
      <c r="C1" s="43"/>
      <c r="D1" s="14"/>
      <c r="E1" s="39" t="s">
        <v>76</v>
      </c>
      <c r="F1" s="45"/>
      <c r="G1" s="34"/>
      <c r="H1" s="35"/>
      <c r="I1" s="35"/>
      <c r="J1" s="35"/>
      <c r="K1" s="34"/>
      <c r="L1" s="34"/>
      <c r="M1" s="34"/>
    </row>
    <row r="2" spans="1:14" ht="15" thickBot="1">
      <c r="A2" s="18" t="s">
        <v>0</v>
      </c>
      <c r="B2" s="19" t="s">
        <v>1</v>
      </c>
      <c r="C2" s="18" t="s">
        <v>78</v>
      </c>
      <c r="D2" s="17"/>
      <c r="E2" s="20" t="s">
        <v>79</v>
      </c>
      <c r="F2" s="26">
        <f>SUM(Dataset!I2:I201)</f>
        <v>68287.010000000009</v>
      </c>
      <c r="G2" s="14"/>
      <c r="H2" s="14"/>
      <c r="I2" s="14"/>
      <c r="J2" s="14"/>
      <c r="K2" s="14"/>
    </row>
    <row r="3" spans="1:14" ht="15" thickBot="1">
      <c r="A3" s="21" t="str" cm="1">
        <f t="array" ref="A3:A32">_xlfn.UNIQUE(Dataset!A2:A201)</f>
        <v>CUST019</v>
      </c>
      <c r="B3" s="21" t="str">
        <f>IF(A3="","",VLOOKUP(A3,Dataset!A:B,2,FALSE))</f>
        <v>James Davis</v>
      </c>
      <c r="C3" s="22">
        <f>SUMIF(Dataset!A:A,A3,Dataset!E:E)</f>
        <v>4640.1099999999997</v>
      </c>
      <c r="D3" s="14"/>
      <c r="E3" s="20" t="s">
        <v>80</v>
      </c>
      <c r="F3" s="21">
        <f>SUM(Dataset!E2:E201)</f>
        <v>195217.75999999992</v>
      </c>
      <c r="G3" s="14"/>
      <c r="H3" s="14"/>
      <c r="I3" s="14"/>
      <c r="J3" s="14"/>
      <c r="K3" s="14"/>
    </row>
    <row r="4" spans="1:14" ht="15" thickBot="1">
      <c r="A4" s="21" t="str">
        <v>CUST012</v>
      </c>
      <c r="B4" s="21" t="str">
        <f>IF(A4="","",VLOOKUP(A4,Dataset!A:B,2,FALSE))</f>
        <v>Robert Anderson</v>
      </c>
      <c r="C4" s="21">
        <f>SUMIF(Dataset!A:A,A4,Dataset!E:E)</f>
        <v>8339</v>
      </c>
      <c r="D4" s="14"/>
      <c r="E4" s="14"/>
      <c r="F4" s="14"/>
      <c r="G4" s="14"/>
      <c r="H4" s="14"/>
      <c r="I4" s="14"/>
      <c r="J4" s="14"/>
      <c r="K4" s="14"/>
    </row>
    <row r="5" spans="1:14" ht="15" thickBot="1">
      <c r="A5" s="21" t="str">
        <v>CUST017</v>
      </c>
      <c r="B5" s="21" t="str">
        <f>IF(A5="","",VLOOKUP(A5,Dataset!A:B,2,FALSE))</f>
        <v>James Taylor</v>
      </c>
      <c r="C5" s="21">
        <f>SUMIF(Dataset!A:A,A5,Dataset!E:E)</f>
        <v>3419.2</v>
      </c>
      <c r="D5" s="14"/>
      <c r="E5" s="21" t="s">
        <v>82</v>
      </c>
      <c r="F5" s="21">
        <f>F2</f>
        <v>68287.010000000009</v>
      </c>
      <c r="G5" s="14"/>
      <c r="H5" s="14"/>
      <c r="I5" s="14"/>
      <c r="J5" s="14"/>
      <c r="K5" s="14"/>
    </row>
    <row r="6" spans="1:14" ht="15" thickBot="1">
      <c r="A6" s="21" t="str">
        <v>CUST005</v>
      </c>
      <c r="B6" s="21" t="str">
        <f>IF(A6="","",VLOOKUP(A6,Dataset!A:B,2,FALSE))</f>
        <v>Robert Anderson</v>
      </c>
      <c r="C6" s="21">
        <f>SUMIF(Dataset!A:A,A6,Dataset!E:E)</f>
        <v>6666.130000000001</v>
      </c>
      <c r="D6" s="14"/>
      <c r="E6" s="23">
        <v>0</v>
      </c>
      <c r="F6" s="21">
        <f>$F$2-($F$3*E6)</f>
        <v>68287.010000000009</v>
      </c>
      <c r="G6" s="14"/>
      <c r="H6" s="14"/>
      <c r="I6" s="14"/>
      <c r="J6" s="14"/>
      <c r="K6" s="14"/>
    </row>
    <row r="7" spans="1:14" ht="15" thickBot="1">
      <c r="A7" s="21" t="str">
        <v>CUST030</v>
      </c>
      <c r="B7" s="21" t="str">
        <f>IF(A7="","",VLOOKUP(A7,Dataset!A:B,2,FALSE))</f>
        <v>James Wilson</v>
      </c>
      <c r="C7" s="21">
        <f>SUMIF(Dataset!A:A,A7,Dataset!E:E)</f>
        <v>7928.71</v>
      </c>
      <c r="D7" s="14"/>
      <c r="E7" s="23">
        <v>0.05</v>
      </c>
      <c r="F7" s="21">
        <f>$F$2-($F$3*E7)</f>
        <v>58526.12200000001</v>
      </c>
      <c r="G7" s="14"/>
      <c r="H7" s="14"/>
      <c r="I7" s="14"/>
      <c r="J7" s="14"/>
      <c r="K7" s="14"/>
    </row>
    <row r="8" spans="1:14" ht="15" thickBot="1">
      <c r="A8" s="21" t="str">
        <v>CUST007</v>
      </c>
      <c r="B8" s="21" t="str">
        <f>IF(A8="","",VLOOKUP(A8,Dataset!A:B,2,FALSE))</f>
        <v>Michael Anderson</v>
      </c>
      <c r="C8" s="21">
        <f>SUMIF(Dataset!A:A,A8,Dataset!E:E)</f>
        <v>9941.8799999999992</v>
      </c>
      <c r="D8" s="14"/>
      <c r="E8" s="23">
        <v>0.1</v>
      </c>
      <c r="F8" s="21">
        <f>$F$2-($F$3*E8)</f>
        <v>48765.234000000011</v>
      </c>
      <c r="G8" s="14"/>
      <c r="H8" s="14"/>
      <c r="I8" s="14"/>
      <c r="J8" s="14"/>
      <c r="K8" s="14"/>
    </row>
    <row r="9" spans="1:14" ht="15" thickBot="1">
      <c r="A9" s="21" t="str">
        <v>CUST001</v>
      </c>
      <c r="B9" s="21" t="str">
        <f>IF(A9="","",VLOOKUP(A9,Dataset!A:B,2,FALSE))</f>
        <v>Linda Wilson</v>
      </c>
      <c r="C9" s="21">
        <f>SUMIF(Dataset!A:A,A9,Dataset!E:E)</f>
        <v>6549.55</v>
      </c>
      <c r="D9" s="14"/>
      <c r="E9" s="23">
        <v>0.15</v>
      </c>
      <c r="F9" s="21">
        <f>$F$2-($F$3*E9)</f>
        <v>39004.34600000002</v>
      </c>
      <c r="G9" s="14"/>
      <c r="H9" s="14"/>
      <c r="I9" s="14"/>
      <c r="J9" s="14"/>
      <c r="K9" s="14"/>
    </row>
    <row r="10" spans="1:14" ht="15" thickBot="1">
      <c r="A10" s="21" t="str">
        <v>CUST026</v>
      </c>
      <c r="B10" s="21" t="str">
        <f>IF(A10="","",VLOOKUP(A10,Dataset!A:B,2,FALSE))</f>
        <v>Mary Davis</v>
      </c>
      <c r="C10" s="21">
        <f>SUMIF(Dataset!A:A,A10,Dataset!E:E)</f>
        <v>9371.81</v>
      </c>
      <c r="D10" s="14"/>
      <c r="E10" s="23">
        <v>0.2</v>
      </c>
      <c r="F10" s="21">
        <f>$F$2-($F$3*E10)</f>
        <v>29243.458000000021</v>
      </c>
      <c r="G10" s="14"/>
      <c r="H10" s="14"/>
      <c r="I10" s="14"/>
      <c r="J10" s="14"/>
      <c r="K10" s="14"/>
    </row>
    <row r="11" spans="1:14" ht="15" thickBot="1">
      <c r="A11" s="21" t="str">
        <v>CUST009</v>
      </c>
      <c r="B11" s="21" t="str">
        <f>IF(A11="","",VLOOKUP(A11,Dataset!A:B,2,FALSE))</f>
        <v>Linda Jackson</v>
      </c>
      <c r="C11" s="21">
        <f>SUMIF(Dataset!A:A,A11,Dataset!E:E)</f>
        <v>6505.2</v>
      </c>
      <c r="D11" s="14"/>
      <c r="E11" s="14"/>
      <c r="F11" s="14"/>
      <c r="G11" s="14"/>
      <c r="H11" s="14"/>
      <c r="I11" s="14"/>
      <c r="J11" s="14"/>
      <c r="K11" s="14"/>
    </row>
    <row r="12" spans="1:14" ht="18.600000000000001" thickBot="1">
      <c r="A12" s="21" t="str">
        <v>CUST010</v>
      </c>
      <c r="B12" s="21" t="str">
        <f>IF(A12="","",VLOOKUP(A12,Dataset!A:B,2,FALSE))</f>
        <v>David Thomas</v>
      </c>
      <c r="C12" s="21">
        <f>SUMIF(Dataset!A:A,A12,Dataset!E:E)</f>
        <v>4259.22</v>
      </c>
      <c r="D12" s="14"/>
      <c r="E12" s="29" t="s">
        <v>84</v>
      </c>
      <c r="F12" s="13"/>
      <c r="G12" s="14"/>
      <c r="H12" s="14"/>
      <c r="I12" s="14"/>
      <c r="J12" s="14"/>
      <c r="K12" s="14"/>
    </row>
    <row r="13" spans="1:14" ht="16.2" thickBot="1">
      <c r="A13" s="21" t="str">
        <v>CUST014</v>
      </c>
      <c r="B13" s="21" t="str">
        <f>IF(A13="","",VLOOKUP(A13,Dataset!A:B,2,FALSE))</f>
        <v>Emma Davis</v>
      </c>
      <c r="C13" s="21">
        <f>SUMIF(Dataset!A:A,A13,Dataset!E:E)</f>
        <v>6729.8899999999994</v>
      </c>
      <c r="D13" s="14"/>
      <c r="E13" s="14" t="s">
        <v>85</v>
      </c>
      <c r="F13" s="14"/>
      <c r="G13" s="14"/>
      <c r="H13" s="14"/>
      <c r="I13" s="14"/>
      <c r="J13" s="30"/>
      <c r="K13" s="14"/>
      <c r="L13" s="14"/>
      <c r="N13" s="2"/>
    </row>
    <row r="14" spans="1:14" ht="16.2" thickBot="1">
      <c r="A14" s="21" t="str">
        <v>CUST023</v>
      </c>
      <c r="B14" s="21" t="str">
        <f>IF(A14="","",VLOOKUP(A14,Dataset!A:B,2,FALSE))</f>
        <v>Robert Anderson</v>
      </c>
      <c r="C14" s="21">
        <f>SUMIF(Dataset!A:A,A14,Dataset!E:E)</f>
        <v>5913.68</v>
      </c>
      <c r="D14" s="14"/>
      <c r="E14" s="14"/>
      <c r="F14" s="14"/>
      <c r="G14" s="14"/>
      <c r="H14" s="14"/>
      <c r="I14" s="14"/>
      <c r="J14" s="14"/>
      <c r="K14" s="30"/>
      <c r="L14" s="30"/>
      <c r="M14" s="31"/>
    </row>
    <row r="15" spans="1:14" ht="15" thickBot="1">
      <c r="A15" s="21" t="str">
        <v>CUST029</v>
      </c>
      <c r="B15" s="21" t="str">
        <f>IF(A15="","",VLOOKUP(A15,Dataset!A:B,2,FALSE))</f>
        <v>David Smith</v>
      </c>
      <c r="C15" s="21">
        <f>SUMIF(Dataset!A:A,A15,Dataset!E:E)</f>
        <v>5779.05</v>
      </c>
      <c r="D15" s="14"/>
      <c r="E15" s="49" t="s">
        <v>87</v>
      </c>
      <c r="F15" s="50"/>
      <c r="G15" s="33"/>
      <c r="H15" s="32"/>
      <c r="I15" s="14"/>
      <c r="J15" s="14"/>
      <c r="K15" s="14"/>
      <c r="L15" s="14"/>
    </row>
    <row r="16" spans="1:14" ht="15" thickBot="1">
      <c r="A16" s="21" t="str">
        <v>CUST008</v>
      </c>
      <c r="B16" s="21" t="str">
        <f>IF(A16="","",VLOOKUP(A16,Dataset!A:B,2,FALSE))</f>
        <v>Robert Anderson</v>
      </c>
      <c r="C16" s="21">
        <f>SUMIF(Dataset!A:A,A16,Dataset!E:E)</f>
        <v>9760.7999999999993</v>
      </c>
      <c r="D16" s="14"/>
      <c r="E16" s="21" t="s">
        <v>88</v>
      </c>
      <c r="F16" s="22">
        <v>0.77340306414342597</v>
      </c>
      <c r="G16" s="14"/>
      <c r="H16" s="14"/>
      <c r="I16" s="32"/>
      <c r="J16" s="32"/>
      <c r="K16" s="32"/>
      <c r="L16" s="32"/>
    </row>
    <row r="17" spans="1:16" ht="16.2" thickBot="1">
      <c r="A17" s="21" t="str">
        <v>CUST006</v>
      </c>
      <c r="B17" s="21" t="str">
        <f>IF(A17="","",VLOOKUP(A17,Dataset!A:B,2,FALSE))</f>
        <v>Mary Jackson</v>
      </c>
      <c r="C17" s="21">
        <f>SUMIF(Dataset!A:A,A17,Dataset!E:E)</f>
        <v>2699.75</v>
      </c>
      <c r="D17" s="14"/>
      <c r="E17" s="21" t="s">
        <v>89</v>
      </c>
      <c r="F17" s="21">
        <v>0.59815229962644101</v>
      </c>
      <c r="G17" s="14"/>
      <c r="H17" s="14"/>
      <c r="I17" s="14"/>
      <c r="J17" s="14"/>
      <c r="K17" s="14"/>
      <c r="M17" s="31"/>
    </row>
    <row r="18" spans="1:16" ht="15" thickBot="1">
      <c r="A18" s="21" t="str">
        <v>CUST022</v>
      </c>
      <c r="B18" s="21" t="str">
        <f>IF(A18="","",VLOOKUP(A18,Dataset!A:B,2,FALSE))</f>
        <v>Robert Anderson</v>
      </c>
      <c r="C18" s="21">
        <f>SUMIF(Dataset!A:A,A18,Dataset!E:E)</f>
        <v>4418.2800000000007</v>
      </c>
      <c r="D18" s="14"/>
      <c r="E18" s="21" t="s">
        <v>90</v>
      </c>
      <c r="F18" s="21">
        <v>0.59612276578616996</v>
      </c>
      <c r="G18" s="14"/>
      <c r="H18" s="14"/>
      <c r="I18" s="14"/>
      <c r="J18" s="14"/>
      <c r="K18" s="14"/>
      <c r="L18" s="14"/>
      <c r="N18" s="14"/>
    </row>
    <row r="19" spans="1:16" ht="15" thickBot="1">
      <c r="A19" s="21" t="str">
        <v>CUST028</v>
      </c>
      <c r="B19" s="21" t="str">
        <f>IF(A19="","",VLOOKUP(A19,Dataset!A:B,2,FALSE))</f>
        <v>Linda Taylor</v>
      </c>
      <c r="C19" s="21">
        <f>SUMIF(Dataset!A:A,A19,Dataset!E:E)</f>
        <v>10293.870000000001</v>
      </c>
      <c r="D19" s="14"/>
      <c r="E19" s="21" t="s">
        <v>91</v>
      </c>
      <c r="F19" s="21">
        <v>86.281230529665194</v>
      </c>
      <c r="G19" s="14"/>
      <c r="H19" s="14"/>
      <c r="I19" s="14"/>
      <c r="J19" s="14"/>
      <c r="K19" s="14"/>
      <c r="L19" s="14"/>
      <c r="M19" s="32"/>
      <c r="N19" s="14"/>
    </row>
    <row r="20" spans="1:16" ht="15" thickBot="1">
      <c r="A20" s="21" t="str">
        <v>CUST025</v>
      </c>
      <c r="B20" s="21" t="str">
        <f>IF(A20="","",VLOOKUP(A20,Dataset!A:B,2,FALSE))</f>
        <v>David Brown</v>
      </c>
      <c r="C20" s="21">
        <f>SUMIF(Dataset!A:A,A20,Dataset!E:E)</f>
        <v>6716.52</v>
      </c>
      <c r="D20" s="14"/>
      <c r="E20" s="21" t="s">
        <v>92</v>
      </c>
      <c r="F20" s="21">
        <v>200</v>
      </c>
      <c r="G20" s="14"/>
      <c r="H20" s="14"/>
      <c r="I20" s="14"/>
      <c r="J20" s="14"/>
      <c r="K20" s="14"/>
      <c r="L20" s="14"/>
      <c r="N20" s="14"/>
    </row>
    <row r="21" spans="1:16" ht="15" thickBot="1">
      <c r="A21" s="21" t="str">
        <v>CUST021</v>
      </c>
      <c r="B21" s="21" t="str">
        <f>IF(A21="","",VLOOKUP(A21,Dataset!A:B,2,FALSE))</f>
        <v>Sarah Anderson</v>
      </c>
      <c r="C21" s="21">
        <f>SUMIF(Dataset!A:A,A21,Dataset!E:E)</f>
        <v>8740.18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</row>
    <row r="22" spans="1:16" ht="15" thickBot="1">
      <c r="A22" s="21" t="str">
        <v>CUST015</v>
      </c>
      <c r="B22" s="21" t="str">
        <f>IF(A22="","",VLOOKUP(A22,Dataset!A:B,2,FALSE))</f>
        <v>Linda Taylor</v>
      </c>
      <c r="C22" s="21">
        <f>SUMIF(Dataset!A:A,A22,Dataset!E:E)</f>
        <v>11611.060000000001</v>
      </c>
      <c r="D22" s="14"/>
      <c r="E22" s="14" t="s">
        <v>93</v>
      </c>
      <c r="F22" s="14"/>
      <c r="G22" s="14"/>
      <c r="H22" s="14"/>
      <c r="I22" s="14"/>
      <c r="J22" s="14"/>
      <c r="K22" s="14"/>
      <c r="L22" s="14"/>
      <c r="M22" s="14"/>
      <c r="N22" s="14"/>
    </row>
    <row r="23" spans="1:16" ht="15" thickBot="1">
      <c r="A23" s="21" t="str">
        <v>CUST016</v>
      </c>
      <c r="B23" s="21" t="str">
        <f>IF(A23="","",VLOOKUP(A23,Dataset!A:B,2,FALSE))</f>
        <v>Emma Wilson</v>
      </c>
      <c r="C23" s="21">
        <f>SUMIF(Dataset!A:A,A23,Dataset!E:E)</f>
        <v>3369.17</v>
      </c>
      <c r="D23" s="14"/>
      <c r="E23" s="15"/>
      <c r="F23" s="15" t="s">
        <v>94</v>
      </c>
      <c r="G23" s="15" t="s">
        <v>95</v>
      </c>
      <c r="H23" s="15" t="s">
        <v>96</v>
      </c>
      <c r="I23" s="15" t="s">
        <v>97</v>
      </c>
      <c r="J23" s="15" t="s">
        <v>98</v>
      </c>
      <c r="K23" s="14"/>
      <c r="L23" s="14"/>
      <c r="M23" s="14"/>
      <c r="N23" s="14"/>
    </row>
    <row r="24" spans="1:16" ht="15" thickBot="1">
      <c r="A24" s="21" t="str">
        <v>CUST011</v>
      </c>
      <c r="B24" s="21" t="str">
        <f>IF(A24="","",VLOOKUP(A24,Dataset!A:B,2,FALSE))</f>
        <v>Mary Davis</v>
      </c>
      <c r="C24" s="21">
        <f>SUMIF(Dataset!A:A,A24,Dataset!E:E)</f>
        <v>3762.2900000000004</v>
      </c>
      <c r="D24" s="14"/>
      <c r="E24" s="21" t="s">
        <v>99</v>
      </c>
      <c r="F24" s="21">
        <v>1</v>
      </c>
      <c r="G24" s="21">
        <v>2194058.1833402799</v>
      </c>
      <c r="H24" s="21">
        <v>2194058.1833402799</v>
      </c>
      <c r="I24" s="21">
        <v>294.72398427548097</v>
      </c>
      <c r="J24" s="21">
        <v>4.6269367558910499E-41</v>
      </c>
      <c r="K24" s="14"/>
      <c r="L24" s="14"/>
      <c r="M24" s="14"/>
      <c r="N24" s="14"/>
    </row>
    <row r="25" spans="1:16" ht="15" thickBot="1">
      <c r="A25" s="21" t="str">
        <v>CUST002</v>
      </c>
      <c r="B25" s="21" t="str">
        <f>IF(A25="","",VLOOKUP(A25,Dataset!A:B,2,FALSE))</f>
        <v>Lisa Davis</v>
      </c>
      <c r="C25" s="21">
        <f>SUMIF(Dataset!A:A,A25,Dataset!E:E)</f>
        <v>6481.43</v>
      </c>
      <c r="D25" s="14"/>
      <c r="E25" s="21" t="s">
        <v>100</v>
      </c>
      <c r="F25" s="21">
        <v>198</v>
      </c>
      <c r="G25" s="21">
        <v>1474001.2468592201</v>
      </c>
      <c r="H25" s="21">
        <v>7444.4507417132199</v>
      </c>
      <c r="I25" s="21"/>
      <c r="J25" s="21"/>
      <c r="K25" s="14"/>
      <c r="L25" s="14"/>
      <c r="M25" s="14"/>
      <c r="N25" s="14"/>
    </row>
    <row r="26" spans="1:16" ht="15" thickBot="1">
      <c r="A26" s="21" t="str">
        <v>CUST003</v>
      </c>
      <c r="B26" s="21" t="str">
        <f>IF(A26="","",VLOOKUP(A26,Dataset!A:B,2,FALSE))</f>
        <v>Emma Davis</v>
      </c>
      <c r="C26" s="21">
        <f>SUMIF(Dataset!A:A,A26,Dataset!E:E)</f>
        <v>8490.18</v>
      </c>
      <c r="D26" s="14"/>
      <c r="E26" s="21" t="s">
        <v>101</v>
      </c>
      <c r="F26" s="21">
        <v>199</v>
      </c>
      <c r="G26" s="21">
        <v>3668059.4301995002</v>
      </c>
      <c r="H26" s="21"/>
      <c r="I26" s="21"/>
      <c r="J26" s="21"/>
      <c r="K26" s="14"/>
      <c r="L26" s="14"/>
      <c r="M26" s="14"/>
      <c r="N26" s="14"/>
    </row>
    <row r="27" spans="1:16" ht="15" thickBot="1">
      <c r="A27" s="21" t="str">
        <v>CUST020</v>
      </c>
      <c r="B27" s="21" t="str">
        <f>IF(A27="","",VLOOKUP(A27,Dataset!A:B,2,FALSE))</f>
        <v>David Brown</v>
      </c>
      <c r="C27" s="21">
        <f>SUMIF(Dataset!A:A,A27,Dataset!E:E)</f>
        <v>4413.71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</row>
    <row r="28" spans="1:16" ht="15" thickBot="1">
      <c r="A28" s="21" t="str">
        <v>CUST024</v>
      </c>
      <c r="B28" s="21" t="str">
        <f>IF(A28="","",VLOOKUP(A28,Dataset!A:B,2,FALSE))</f>
        <v>David Brown</v>
      </c>
      <c r="C28" s="21">
        <f>SUMIF(Dataset!A:A,A28,Dataset!E:E)</f>
        <v>7583.1299999999992</v>
      </c>
      <c r="D28" s="14"/>
      <c r="E28" s="15"/>
      <c r="F28" s="15" t="s">
        <v>102</v>
      </c>
      <c r="G28" s="15" t="s">
        <v>91</v>
      </c>
      <c r="H28" s="15" t="s">
        <v>103</v>
      </c>
      <c r="I28" s="15" t="s">
        <v>104</v>
      </c>
      <c r="J28" s="15" t="s">
        <v>105</v>
      </c>
      <c r="K28" s="15" t="s">
        <v>106</v>
      </c>
      <c r="L28" s="15" t="s">
        <v>107</v>
      </c>
      <c r="M28" s="15" t="s">
        <v>108</v>
      </c>
      <c r="N28" s="14"/>
    </row>
    <row r="29" spans="1:16" ht="15" thickBot="1">
      <c r="A29" s="21" t="str">
        <v>CUST004</v>
      </c>
      <c r="B29" s="21" t="str">
        <f>IF(A29="","",VLOOKUP(A29,Dataset!A:B,2,FALSE))</f>
        <v>Lisa Thomas</v>
      </c>
      <c r="C29" s="21">
        <f>SUMIF(Dataset!A:A,A29,Dataset!E:E)</f>
        <v>7813.59</v>
      </c>
      <c r="D29" s="14"/>
      <c r="E29" s="21" t="s">
        <v>109</v>
      </c>
      <c r="F29" s="21">
        <v>-1.0315504901911401</v>
      </c>
      <c r="G29" s="21">
        <v>20.860617005445501</v>
      </c>
      <c r="H29" s="21">
        <v>-4.9449663445806001E-2</v>
      </c>
      <c r="I29" s="21">
        <v>0.96061079696907503</v>
      </c>
      <c r="J29" s="21">
        <v>-42.169051823379</v>
      </c>
      <c r="K29" s="21">
        <v>40.105950842996698</v>
      </c>
      <c r="L29" s="21">
        <v>-42.169051823379</v>
      </c>
      <c r="M29" s="21">
        <v>40.105950842996698</v>
      </c>
      <c r="N29" s="16"/>
      <c r="O29" s="12"/>
      <c r="P29" s="12"/>
    </row>
    <row r="30" spans="1:16" ht="15" thickBot="1">
      <c r="A30" s="21" t="str">
        <v>CUST013</v>
      </c>
      <c r="B30" s="21" t="str">
        <f>IF(A30="","",VLOOKUP(A30,Dataset!A:B,2,FALSE))</f>
        <v>Robert Anderson</v>
      </c>
      <c r="C30" s="21">
        <f>SUMIF(Dataset!A:A,A30,Dataset!E:E)</f>
        <v>4162.4400000000005</v>
      </c>
      <c r="D30" s="14"/>
      <c r="E30" s="21" t="s">
        <v>4</v>
      </c>
      <c r="F30" s="21">
        <v>0.35085598819512298</v>
      </c>
      <c r="G30" s="21">
        <v>2.0437188630135598E-2</v>
      </c>
      <c r="H30" s="21">
        <v>17.167527028535002</v>
      </c>
      <c r="I30" s="21">
        <v>4.6269367558907899E-41</v>
      </c>
      <c r="J30" s="21">
        <v>0.31055349501865798</v>
      </c>
      <c r="K30" s="21">
        <v>0.39115848137158699</v>
      </c>
      <c r="L30" s="21">
        <v>0.31055349501865798</v>
      </c>
      <c r="M30" s="21">
        <v>0.39115848137158699</v>
      </c>
      <c r="N30" s="14"/>
    </row>
    <row r="31" spans="1:16" ht="15" thickBot="1">
      <c r="A31" s="21" t="str">
        <v>CUST027</v>
      </c>
      <c r="B31" s="21" t="str">
        <f>IF(A31="","",VLOOKUP(A31,Dataset!A:B,2,FALSE))</f>
        <v>Emma Davis</v>
      </c>
      <c r="C31" s="21">
        <f>SUMIF(Dataset!A:A,A31,Dataset!E:E)</f>
        <v>3906.04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</row>
    <row r="32" spans="1:16" ht="15" thickBot="1">
      <c r="A32" s="21" t="str">
        <v>CUST018</v>
      </c>
      <c r="B32" s="21" t="str">
        <f>IF(A32="","",VLOOKUP(A32,Dataset!A:B,2,FALSE))</f>
        <v>Mary Jackson</v>
      </c>
      <c r="C32" s="21">
        <f>SUMIF(Dataset!A:A,A32,Dataset!E:E)</f>
        <v>4951.8899999999994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</row>
    <row r="33" spans="1:14" ht="15" thickBo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</row>
    <row r="34" spans="1:14" ht="18.600000000000001" thickBot="1">
      <c r="A34" s="39" t="s">
        <v>110</v>
      </c>
      <c r="B34" s="39"/>
      <c r="C34" s="39"/>
      <c r="D34" s="14"/>
      <c r="E34" s="45" t="s">
        <v>111</v>
      </c>
      <c r="F34" s="46"/>
      <c r="G34" s="47"/>
      <c r="H34" s="14"/>
      <c r="I34" s="14"/>
      <c r="J34" s="14"/>
      <c r="K34" s="14"/>
      <c r="L34" s="14"/>
      <c r="M34" s="14"/>
      <c r="N34" s="14"/>
    </row>
    <row r="35" spans="1:14" ht="15" thickBot="1">
      <c r="A35" s="3" t="s">
        <v>112</v>
      </c>
      <c r="B35" s="3" t="s">
        <v>4</v>
      </c>
      <c r="C35" s="3" t="s">
        <v>8</v>
      </c>
      <c r="D35" s="14"/>
      <c r="E35" s="3" t="s">
        <v>113</v>
      </c>
      <c r="F35" s="3" t="s">
        <v>114</v>
      </c>
      <c r="G35" s="24" t="s">
        <v>115</v>
      </c>
      <c r="H35" s="14"/>
      <c r="I35" s="14"/>
      <c r="J35" s="14"/>
      <c r="K35" s="14"/>
      <c r="L35" s="14"/>
      <c r="M35" s="14"/>
      <c r="N35" s="14"/>
    </row>
    <row r="36" spans="1:14" ht="15" thickBot="1">
      <c r="A36" s="21" t="s">
        <v>116</v>
      </c>
      <c r="B36" s="21">
        <f>AVERAGE(Dataset!E2:E201)</f>
        <v>976.08879999999965</v>
      </c>
      <c r="C36" s="21">
        <f>ROUND(AVERAGE(Dataset!I2:I201),2)</f>
        <v>341.44</v>
      </c>
      <c r="D36" s="14"/>
      <c r="E36" s="25">
        <v>45383</v>
      </c>
      <c r="F36" s="26">
        <f>SUMIFS(Dataset!$E$2:$E$201,Dataset!$H$2:$H$201,"&gt;="&amp;E36,Dataset!$H$2:$H$201,"&lt;"&amp;EDATE(E36,1))</f>
        <v>19029.96</v>
      </c>
      <c r="G36" s="27" t="str">
        <f>"N/A"</f>
        <v>N/A</v>
      </c>
      <c r="H36" s="14"/>
      <c r="I36" s="14"/>
      <c r="J36" s="14"/>
      <c r="K36" s="14"/>
      <c r="L36" s="14"/>
      <c r="M36" s="14"/>
      <c r="N36" s="14"/>
    </row>
    <row r="37" spans="1:14" ht="15" thickBot="1">
      <c r="A37" s="21" t="s">
        <v>91</v>
      </c>
      <c r="B37" s="21">
        <f>_xlfn.STDEV.S(Dataset!E2:E201)/SQRT(COUNT(Dataset!E2:E201))</f>
        <v>21.161850448978406</v>
      </c>
      <c r="C37" s="21">
        <f>ROUND(_xlfn.STDEV.S(Dataset!I2:I201)/SQRT(COUNT(Dataset!I2:I201)),4)</f>
        <v>9.6000999999999994</v>
      </c>
      <c r="D37" s="14"/>
      <c r="E37" s="25">
        <f>EDATE(E36,1)</f>
        <v>45413</v>
      </c>
      <c r="F37" s="26">
        <f>SUMIFS(Dataset!$E$2:$E$201,Dataset!$H$2:$H$201,"&gt;="&amp;E37,Dataset!$H$2:$H$201,"&lt;"&amp;EDATE(E37,1))</f>
        <v>18507.339999999997</v>
      </c>
      <c r="G37" s="36">
        <f>IFERROR((F37-F36)/F36,0)</f>
        <v>-2.7463010957458799E-2</v>
      </c>
      <c r="H37" s="14"/>
      <c r="I37" s="14"/>
      <c r="J37" s="14"/>
      <c r="K37" s="14"/>
      <c r="L37" s="14"/>
      <c r="M37" s="14"/>
      <c r="N37" s="14"/>
    </row>
    <row r="38" spans="1:14" ht="15" thickBot="1">
      <c r="A38" s="21" t="s">
        <v>117</v>
      </c>
      <c r="B38" s="21">
        <f>MEDIAN(Dataset!E2:E201)</f>
        <v>976.72</v>
      </c>
      <c r="C38" s="21">
        <f>MEDIAN(Dataset!I2:I201)</f>
        <v>332.255</v>
      </c>
      <c r="D38" s="14"/>
      <c r="E38" s="25">
        <f t="shared" ref="E38:E48" si="0">EDATE(E37,1)</f>
        <v>45444</v>
      </c>
      <c r="F38" s="26">
        <f>SUMIFS(Dataset!$E$2:$E$201,Dataset!$H$2:$H$201,"&gt;="&amp;E38,Dataset!$H$2:$H$201,"&lt;"&amp;EDATE(E38,1))</f>
        <v>20187.509999999998</v>
      </c>
      <c r="G38" s="36">
        <f t="shared" ref="G38:G48" si="1">IFERROR((F38-F37)/F37,0)</f>
        <v>9.0783980842195702E-2</v>
      </c>
      <c r="H38" s="14"/>
      <c r="I38" s="14"/>
      <c r="J38" s="14"/>
      <c r="K38" s="14"/>
      <c r="L38" s="14"/>
      <c r="M38" s="14"/>
      <c r="N38" s="14"/>
    </row>
    <row r="39" spans="1:14" ht="15" thickBot="1">
      <c r="A39" s="21" t="s">
        <v>118</v>
      </c>
      <c r="B39" s="21">
        <f>_xlfn.STDEV.S(Dataset!E2:E201)</f>
        <v>299.27375909856431</v>
      </c>
      <c r="C39" s="21">
        <f>ROUND(_xlfn.STDEV.S(Dataset!I2:I201),2)</f>
        <v>135.77000000000001</v>
      </c>
      <c r="D39" s="14"/>
      <c r="E39" s="25">
        <f t="shared" si="0"/>
        <v>45474</v>
      </c>
      <c r="F39" s="26">
        <f>SUMIFS(Dataset!$E$2:$E$201,Dataset!$H$2:$H$201,"&gt;="&amp;E39,Dataset!$H$2:$H$201,"&lt;"&amp;EDATE(E39,1))</f>
        <v>11609.039999999999</v>
      </c>
      <c r="G39" s="36">
        <f t="shared" si="1"/>
        <v>-0.42493947990614001</v>
      </c>
      <c r="H39" s="14"/>
      <c r="I39" s="14"/>
      <c r="J39" s="14"/>
      <c r="K39" s="14"/>
      <c r="L39" s="14"/>
      <c r="M39" s="14"/>
      <c r="N39" s="14"/>
    </row>
    <row r="40" spans="1:14" ht="15" thickBot="1">
      <c r="A40" s="21" t="s">
        <v>119</v>
      </c>
      <c r="B40" s="21">
        <f>MIN(Dataset!E2:E201)</f>
        <v>258.51</v>
      </c>
      <c r="C40" s="21">
        <f>MIN(Dataset!I2:I201)</f>
        <v>64.63</v>
      </c>
      <c r="D40" s="14"/>
      <c r="E40" s="25">
        <f t="shared" si="0"/>
        <v>45505</v>
      </c>
      <c r="F40" s="26">
        <f>SUMIFS(Dataset!$E$2:$E$201,Dataset!$H$2:$H$201,"&gt;="&amp;E40,Dataset!$H$2:$H$201,"&lt;"&amp;EDATE(E40,1))</f>
        <v>10091.699999999999</v>
      </c>
      <c r="G40" s="36">
        <f t="shared" si="1"/>
        <v>-0.13070331396911375</v>
      </c>
      <c r="H40" s="14"/>
      <c r="I40" s="14"/>
      <c r="J40" s="14"/>
      <c r="K40" s="14"/>
      <c r="L40" s="14"/>
      <c r="M40" s="14"/>
      <c r="N40" s="14"/>
    </row>
    <row r="41" spans="1:14" ht="15" thickBot="1">
      <c r="A41" s="21" t="s">
        <v>120</v>
      </c>
      <c r="B41" s="21">
        <f>MAX(Dataset!E2:E201)</f>
        <v>1923.66</v>
      </c>
      <c r="C41" s="21">
        <f>MAX(Dataset!I2:I201)</f>
        <v>769.46</v>
      </c>
      <c r="D41" s="14"/>
      <c r="E41" s="25">
        <f t="shared" si="0"/>
        <v>45536</v>
      </c>
      <c r="F41" s="26">
        <f>SUMIFS(Dataset!$E$2:$E$201,Dataset!$H$2:$H$201,"&gt;="&amp;E41,Dataset!$H$2:$H$201,"&lt;"&amp;EDATE(E41,1))</f>
        <v>20533.499999999996</v>
      </c>
      <c r="G41" s="36">
        <f t="shared" si="1"/>
        <v>1.0346918755016496</v>
      </c>
      <c r="H41" s="14"/>
      <c r="I41" s="14"/>
      <c r="J41" s="14"/>
      <c r="K41" s="14"/>
      <c r="L41" s="14"/>
      <c r="M41" s="14"/>
      <c r="N41" s="14"/>
    </row>
    <row r="42" spans="1:14" ht="15" thickBot="1">
      <c r="A42" s="21" t="s">
        <v>121</v>
      </c>
      <c r="B42" s="21">
        <f>SUM(Dataset!E2:E201)</f>
        <v>195217.75999999992</v>
      </c>
      <c r="C42" s="21">
        <f>SUM(Dataset!I2:I201)</f>
        <v>68287.010000000009</v>
      </c>
      <c r="D42" s="14"/>
      <c r="E42" s="25">
        <f t="shared" si="0"/>
        <v>45566</v>
      </c>
      <c r="F42" s="26">
        <f>SUMIFS(Dataset!$E$2:$E$201,Dataset!$H$2:$H$201,"&gt;="&amp;E42,Dataset!$H$2:$H$201,"&lt;"&amp;EDATE(E42,1))</f>
        <v>14215.240000000002</v>
      </c>
      <c r="G42" s="36">
        <f t="shared" si="1"/>
        <v>-0.30770496992719193</v>
      </c>
      <c r="H42" s="14"/>
      <c r="I42" s="14"/>
      <c r="J42" s="14"/>
      <c r="K42" s="14"/>
      <c r="L42" s="14"/>
      <c r="M42" s="14"/>
      <c r="N42" s="14"/>
    </row>
    <row r="43" spans="1:14" ht="15" thickBot="1">
      <c r="A43" s="21" t="s">
        <v>122</v>
      </c>
      <c r="B43" s="21">
        <f>COUNT(Dataset!E2:E201)</f>
        <v>200</v>
      </c>
      <c r="C43" s="21">
        <f>COUNT(Dataset!I2:I201)</f>
        <v>200</v>
      </c>
      <c r="D43" s="14"/>
      <c r="E43" s="25">
        <f t="shared" si="0"/>
        <v>45597</v>
      </c>
      <c r="F43" s="26">
        <f>SUMIFS(Dataset!$E$2:$E$201,Dataset!$H$2:$H$201,"&gt;="&amp;E43,Dataset!$H$2:$H$201,"&lt;"&amp;EDATE(E43,1))</f>
        <v>20135.030000000002</v>
      </c>
      <c r="G43" s="36">
        <f t="shared" si="1"/>
        <v>0.4164396802305132</v>
      </c>
      <c r="H43" s="14"/>
      <c r="I43" s="14"/>
      <c r="J43" s="14"/>
      <c r="K43" s="14"/>
      <c r="L43" s="14"/>
      <c r="M43" s="14"/>
      <c r="N43" s="14"/>
    </row>
    <row r="44" spans="1:14" ht="15" thickBot="1">
      <c r="A44" s="14"/>
      <c r="B44" s="14"/>
      <c r="C44" s="14"/>
      <c r="D44" s="14"/>
      <c r="E44" s="25">
        <f t="shared" si="0"/>
        <v>45627</v>
      </c>
      <c r="F44" s="26">
        <f>SUMIFS(Dataset!$E$2:$E$201,Dataset!$H$2:$H$201,"&gt;="&amp;E44,Dataset!$H$2:$H$201,"&lt;"&amp;EDATE(E44,1))</f>
        <v>11120.04</v>
      </c>
      <c r="G44" s="36">
        <f t="shared" si="1"/>
        <v>-0.44772667336477773</v>
      </c>
      <c r="H44" s="14"/>
      <c r="I44" s="14"/>
      <c r="J44" s="14"/>
      <c r="K44" s="14"/>
      <c r="L44" s="14"/>
      <c r="M44" s="14"/>
      <c r="N44" s="14"/>
    </row>
    <row r="45" spans="1:14" ht="15" thickBot="1">
      <c r="A45" s="14"/>
      <c r="B45" s="14"/>
      <c r="C45" s="14"/>
      <c r="D45" s="14"/>
      <c r="E45" s="25">
        <f t="shared" si="0"/>
        <v>45658</v>
      </c>
      <c r="F45" s="26">
        <f>SUMIFS(Dataset!$E$2:$E$201,Dataset!$H$2:$H$201,"&gt;="&amp;E45,Dataset!$H$2:$H$201,"&lt;"&amp;EDATE(E45,1))</f>
        <v>14914.650000000001</v>
      </c>
      <c r="G45" s="36">
        <f t="shared" si="1"/>
        <v>0.34124067899036337</v>
      </c>
      <c r="H45" s="14"/>
      <c r="I45" s="14"/>
      <c r="J45" s="14"/>
      <c r="K45" s="14"/>
      <c r="L45" s="14"/>
      <c r="M45" s="14"/>
      <c r="N45" s="14"/>
    </row>
    <row r="46" spans="1:14" ht="15" thickBot="1">
      <c r="A46" s="14"/>
      <c r="B46" s="14"/>
      <c r="C46" s="14"/>
      <c r="D46" s="14"/>
      <c r="E46" s="25">
        <f t="shared" si="0"/>
        <v>45689</v>
      </c>
      <c r="F46" s="26">
        <f>SUMIFS(Dataset!$E$2:$E$201,Dataset!$H$2:$H$201,"&gt;="&amp;E46,Dataset!$H$2:$H$201,"&lt;"&amp;EDATE(E46,1))</f>
        <v>14006.359999999999</v>
      </c>
      <c r="G46" s="36">
        <f t="shared" si="1"/>
        <v>-6.0899183018039482E-2</v>
      </c>
      <c r="H46" s="14"/>
      <c r="I46" s="14"/>
      <c r="J46" s="14"/>
      <c r="K46" s="14"/>
      <c r="L46" s="14"/>
      <c r="M46" s="14"/>
      <c r="N46" s="14"/>
    </row>
    <row r="47" spans="1:14" ht="15" thickBot="1">
      <c r="A47" s="44"/>
      <c r="B47" s="44"/>
      <c r="C47" s="14"/>
      <c r="D47" s="14"/>
      <c r="E47" s="25">
        <f t="shared" si="0"/>
        <v>45717</v>
      </c>
      <c r="F47" s="26">
        <f>SUMIFS(Dataset!$E$2:$E$201,Dataset!$H$2:$H$201,"&gt;="&amp;E47,Dataset!$H$2:$H$201,"&lt;"&amp;EDATE(E47,1))</f>
        <v>17655.219999999998</v>
      </c>
      <c r="G47" s="36">
        <f t="shared" si="1"/>
        <v>0.26051450912299834</v>
      </c>
      <c r="H47" s="14"/>
      <c r="I47" s="14"/>
      <c r="J47" s="14"/>
      <c r="K47" s="14"/>
      <c r="L47" s="14"/>
      <c r="M47" s="14"/>
      <c r="N47" s="14"/>
    </row>
    <row r="48" spans="1:14" ht="15" thickBot="1">
      <c r="A48" s="28"/>
      <c r="B48" s="14"/>
      <c r="C48" s="14"/>
      <c r="D48" s="14"/>
      <c r="E48" s="25">
        <f t="shared" si="0"/>
        <v>45748</v>
      </c>
      <c r="F48" s="26">
        <f>SUMIFS(Dataset!$E$2:$E$201,Dataset!$H$2:$H$201,"&gt;="&amp;E48,Dataset!$H$2:$H$201,"&lt;"&amp;EDATE(E48,1))</f>
        <v>3212.17</v>
      </c>
      <c r="G48" s="36">
        <f t="shared" si="1"/>
        <v>-0.81806117397574196</v>
      </c>
      <c r="H48" s="14"/>
      <c r="I48" s="14"/>
      <c r="J48" s="14"/>
      <c r="K48" s="14"/>
      <c r="L48" s="14"/>
      <c r="M48" s="14"/>
      <c r="N48" s="14"/>
    </row>
    <row r="49" spans="1:14">
      <c r="D49" s="14"/>
      <c r="N49" s="14"/>
    </row>
    <row r="50" spans="1:14" ht="15" thickBot="1"/>
    <row r="51" spans="1:14" ht="18.600000000000001" thickBot="1">
      <c r="A51" s="39" t="s">
        <v>77</v>
      </c>
      <c r="B51" s="39"/>
    </row>
    <row r="52" spans="1:14" ht="15" thickBot="1">
      <c r="A52" s="40">
        <v>46318.442459722224</v>
      </c>
      <c r="B52" s="41"/>
    </row>
    <row r="53" spans="1:14" ht="15" thickBot="1"/>
    <row r="54" spans="1:14" ht="18.600000000000001" thickBot="1">
      <c r="A54" s="42" t="s">
        <v>81</v>
      </c>
      <c r="B54" s="43"/>
      <c r="C54" s="43"/>
      <c r="E54" s="38" t="s">
        <v>86</v>
      </c>
      <c r="F54" s="38"/>
    </row>
    <row r="55" spans="1:14" ht="15" thickBot="1">
      <c r="A55" s="37" t="s">
        <v>0</v>
      </c>
      <c r="B55" s="37" t="s">
        <v>1</v>
      </c>
      <c r="C55" s="37" t="s">
        <v>83</v>
      </c>
      <c r="D55" s="14"/>
      <c r="E55" s="37" t="s">
        <v>1</v>
      </c>
      <c r="F55" s="37" t="s">
        <v>83</v>
      </c>
    </row>
    <row r="56" spans="1:14" ht="15" thickBot="1">
      <c r="A56" s="21" t="str" cm="1">
        <f t="array" ref="A56:A63">_xlfn.LET(_xlpm.ids,_xlfn.UNIQUE(Dataset!A2:A201),_xlpm.totals,SUMIF(Dataset!A2:A201,_xlpm.ids,Dataset!E2:E201),_xlfn._xlws.FILTER(_xlpm.ids,_xlpm.totals&gt;8000,"No Customers Found"))</f>
        <v>CUST012</v>
      </c>
      <c r="B56" s="21" t="str" cm="1">
        <f t="array" ref="B56:B63">_xlfn.XLOOKUP(_xlfn.ANCHORARRAY(A56),Dataset!A2:A201,Dataset!B2:B201,"Not Found")</f>
        <v>Robert Anderson</v>
      </c>
      <c r="C56" s="21" cm="1">
        <f t="array" ref="C56:C63">SUMIF(Dataset!A$2:A$201,_xlfn.ANCHORARRAY(A56),Dataset!E$2:E$201)</f>
        <v>8339</v>
      </c>
      <c r="D56" s="14"/>
      <c r="E56" s="21" t="s">
        <v>23</v>
      </c>
      <c r="F56" s="21">
        <v>1923.66</v>
      </c>
    </row>
    <row r="57" spans="1:14" ht="15" thickBot="1">
      <c r="A57" s="21" t="str">
        <v>CUST007</v>
      </c>
      <c r="B57" s="21" t="str">
        <v>Michael Anderson</v>
      </c>
      <c r="C57" s="21">
        <v>9941.8799999999992</v>
      </c>
    </row>
    <row r="58" spans="1:14" ht="15" thickBot="1">
      <c r="A58" s="21" t="str">
        <v>CUST026</v>
      </c>
      <c r="B58" s="21" t="str">
        <v>Mary Davis</v>
      </c>
      <c r="C58" s="21">
        <v>9371.81</v>
      </c>
    </row>
    <row r="59" spans="1:14" ht="15" thickBot="1">
      <c r="A59" s="21" t="str">
        <v>CUST008</v>
      </c>
      <c r="B59" s="21" t="str">
        <v>Robert Anderson</v>
      </c>
      <c r="C59" s="21">
        <v>9760.7999999999993</v>
      </c>
    </row>
    <row r="60" spans="1:14" ht="15" thickBot="1">
      <c r="A60" s="21" t="str">
        <v>CUST028</v>
      </c>
      <c r="B60" s="21" t="str">
        <v>Linda Taylor</v>
      </c>
      <c r="C60" s="21">
        <v>10293.870000000001</v>
      </c>
    </row>
    <row r="61" spans="1:14" ht="15" thickBot="1">
      <c r="A61" s="21" t="str">
        <v>CUST021</v>
      </c>
      <c r="B61" s="21" t="str">
        <v>Sarah Anderson</v>
      </c>
      <c r="C61" s="21">
        <v>8740.18</v>
      </c>
    </row>
    <row r="62" spans="1:14" ht="15" thickBot="1">
      <c r="A62" s="21" t="str">
        <v>CUST015</v>
      </c>
      <c r="B62" s="21" t="str">
        <v>Linda Taylor</v>
      </c>
      <c r="C62" s="21">
        <v>11611.060000000001</v>
      </c>
    </row>
    <row r="63" spans="1:14" ht="15" thickBot="1">
      <c r="A63" s="21" t="str">
        <v>CUST003</v>
      </c>
      <c r="B63" s="21" t="str">
        <v>Emma Davis</v>
      </c>
      <c r="C63" s="21">
        <v>8490.18</v>
      </c>
    </row>
    <row r="64" spans="1:14">
      <c r="A64" s="14"/>
      <c r="B64" s="14"/>
      <c r="C64" s="14"/>
      <c r="D64" s="14"/>
    </row>
    <row r="65" spans="1:6">
      <c r="A65" s="14"/>
      <c r="B65" s="14"/>
      <c r="C65" s="14"/>
      <c r="D65" s="14"/>
    </row>
    <row r="66" spans="1:6">
      <c r="D66" s="14"/>
      <c r="E66" s="14"/>
      <c r="F66" s="14"/>
    </row>
  </sheetData>
  <mergeCells count="10">
    <mergeCell ref="E34:G34"/>
    <mergeCell ref="A34:C34"/>
    <mergeCell ref="A1:C1"/>
    <mergeCell ref="E1:F1"/>
    <mergeCell ref="E15:F15"/>
    <mergeCell ref="E54:F54"/>
    <mergeCell ref="A51:B51"/>
    <mergeCell ref="A52:B52"/>
    <mergeCell ref="A54:C54"/>
    <mergeCell ref="A47:B47"/>
  </mergeCells>
  <conditionalFormatting sqref="C3:C32">
    <cfRule type="top10" dxfId="1" priority="1" rank="10"/>
  </conditionalFormatting>
  <conditionalFormatting sqref="C3:D32 D33">
    <cfRule type="top10" dxfId="0" priority="2" rank="1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5"/>
  <sheetViews>
    <sheetView showGridLines="0" topLeftCell="A24" zoomScale="70" zoomScaleNormal="70" workbookViewId="0">
      <selection activeCell="E25" sqref="E25"/>
    </sheetView>
  </sheetViews>
  <sheetFormatPr defaultColWidth="8.88671875" defaultRowHeight="14.4"/>
  <cols>
    <col min="1" max="1" width="19.77734375" customWidth="1"/>
    <col min="2" max="2" width="20" bestFit="1" customWidth="1"/>
    <col min="3" max="3" width="21.21875"/>
    <col min="4" max="6" width="19.109375"/>
    <col min="7" max="7" width="11.44140625"/>
  </cols>
  <sheetData>
    <row r="1" spans="1:15" ht="19.05" customHeight="1">
      <c r="A1" s="51" t="s">
        <v>123</v>
      </c>
      <c r="B1" s="51"/>
      <c r="C1" s="51"/>
      <c r="D1" s="51"/>
      <c r="E1" s="51"/>
      <c r="F1" s="51"/>
      <c r="G1" s="51"/>
      <c r="I1" s="51" t="s">
        <v>124</v>
      </c>
      <c r="J1" s="51"/>
      <c r="K1" s="51"/>
      <c r="L1" s="51"/>
      <c r="M1" s="51"/>
      <c r="N1" s="51"/>
      <c r="O1" s="51"/>
    </row>
    <row r="3" spans="1:15" ht="15.6">
      <c r="A3" s="9" t="s">
        <v>125</v>
      </c>
      <c r="B3" s="9" t="s">
        <v>3</v>
      </c>
      <c r="C3" s="9"/>
      <c r="D3" s="9"/>
      <c r="E3" s="9"/>
      <c r="F3" s="9"/>
      <c r="G3" s="9"/>
    </row>
    <row r="4" spans="1:15" ht="15.6">
      <c r="A4" s="9" t="s">
        <v>2</v>
      </c>
      <c r="B4" s="9" t="s">
        <v>12</v>
      </c>
      <c r="C4" s="9" t="s">
        <v>15</v>
      </c>
      <c r="D4" s="9" t="s">
        <v>21</v>
      </c>
      <c r="E4" s="9" t="s">
        <v>27</v>
      </c>
      <c r="F4" s="9" t="s">
        <v>39</v>
      </c>
      <c r="G4" s="9" t="s">
        <v>126</v>
      </c>
    </row>
    <row r="5" spans="1:15">
      <c r="A5" t="s">
        <v>34</v>
      </c>
      <c r="B5">
        <v>11297.15</v>
      </c>
      <c r="C5">
        <v>12200.26</v>
      </c>
      <c r="D5">
        <v>6621.24</v>
      </c>
      <c r="E5">
        <v>4876.96</v>
      </c>
      <c r="F5">
        <v>8472.7199999999993</v>
      </c>
      <c r="G5">
        <v>43468.33</v>
      </c>
    </row>
    <row r="6" spans="1:15">
      <c r="A6" t="s">
        <v>18</v>
      </c>
      <c r="B6">
        <v>11389.09</v>
      </c>
      <c r="C6">
        <v>2401.4499999999998</v>
      </c>
      <c r="D6">
        <v>2869.54</v>
      </c>
      <c r="E6">
        <v>7592.34</v>
      </c>
      <c r="F6">
        <v>8189.22</v>
      </c>
      <c r="G6">
        <v>32441.64</v>
      </c>
    </row>
    <row r="7" spans="1:15">
      <c r="A7" t="s">
        <v>24</v>
      </c>
      <c r="B7">
        <v>8037.01</v>
      </c>
      <c r="C7">
        <v>8422.82</v>
      </c>
      <c r="D7">
        <v>8191.71</v>
      </c>
      <c r="E7">
        <v>6978.08</v>
      </c>
      <c r="F7">
        <v>3345.8</v>
      </c>
      <c r="G7">
        <v>34975.42</v>
      </c>
    </row>
    <row r="8" spans="1:15">
      <c r="A8" t="s">
        <v>20</v>
      </c>
      <c r="B8">
        <v>9588.0400000000009</v>
      </c>
      <c r="C8">
        <v>8393.6299999999992</v>
      </c>
      <c r="D8">
        <v>11989.07</v>
      </c>
      <c r="E8">
        <v>7982.73</v>
      </c>
      <c r="F8">
        <v>2295.3200000000002</v>
      </c>
      <c r="G8">
        <v>40248.79</v>
      </c>
    </row>
    <row r="9" spans="1:15">
      <c r="A9" t="s">
        <v>11</v>
      </c>
      <c r="B9">
        <v>6691.17</v>
      </c>
      <c r="C9">
        <v>10509.43</v>
      </c>
      <c r="D9">
        <v>11372.44</v>
      </c>
      <c r="E9">
        <v>9182.7800000000007</v>
      </c>
      <c r="F9">
        <v>6327.76</v>
      </c>
      <c r="G9">
        <v>44083.58</v>
      </c>
    </row>
    <row r="10" spans="1:15">
      <c r="A10" t="s">
        <v>126</v>
      </c>
      <c r="B10">
        <v>47002.46</v>
      </c>
      <c r="C10">
        <v>41927.589999999997</v>
      </c>
      <c r="D10">
        <v>41044</v>
      </c>
      <c r="E10">
        <v>36612.89</v>
      </c>
      <c r="F10">
        <v>28630.82</v>
      </c>
      <c r="G10">
        <v>195217.76</v>
      </c>
    </row>
    <row r="13" spans="1:15" ht="18">
      <c r="A13" s="52" t="s">
        <v>130</v>
      </c>
      <c r="B13" s="53"/>
      <c r="C13" s="53" t="s">
        <v>127</v>
      </c>
      <c r="D13" s="53"/>
      <c r="E13" s="53" t="s">
        <v>128</v>
      </c>
      <c r="F13" s="53"/>
      <c r="G13" s="53" t="s">
        <v>129</v>
      </c>
      <c r="H13" s="54"/>
    </row>
    <row r="14" spans="1:15" ht="21">
      <c r="A14" s="55">
        <f>SUM(Dataset!E2:E201)</f>
        <v>195217.75999999992</v>
      </c>
      <c r="B14" s="56"/>
      <c r="C14" s="57">
        <f>SUM(Dataset!I2:I202)</f>
        <v>68287.010000000009</v>
      </c>
      <c r="D14" s="57"/>
      <c r="E14" s="59">
        <f>IFERROR(SUM(Dataset!I2:I201)/SUM(Dataset!E2:E201),0)</f>
        <v>0.34979916786259629</v>
      </c>
      <c r="F14" s="59"/>
      <c r="G14" s="57">
        <f>COUNTA(Dataset!A2:A201)</f>
        <v>200</v>
      </c>
      <c r="H14" s="58"/>
    </row>
    <row r="21" spans="1:3" ht="15.6">
      <c r="A21" s="9" t="s">
        <v>3</v>
      </c>
      <c r="B21" s="9" t="s">
        <v>125</v>
      </c>
    </row>
    <row r="22" spans="1:3">
      <c r="A22" t="s">
        <v>12</v>
      </c>
      <c r="B22">
        <v>47002.46</v>
      </c>
    </row>
    <row r="23" spans="1:3">
      <c r="A23" t="s">
        <v>15</v>
      </c>
      <c r="B23">
        <v>41927.589999999997</v>
      </c>
    </row>
    <row r="24" spans="1:3">
      <c r="A24" t="s">
        <v>21</v>
      </c>
      <c r="B24">
        <v>41044</v>
      </c>
    </row>
    <row r="25" spans="1:3">
      <c r="A25" t="s">
        <v>27</v>
      </c>
      <c r="B25">
        <v>36612.89</v>
      </c>
    </row>
    <row r="26" spans="1:3">
      <c r="A26" t="s">
        <v>39</v>
      </c>
      <c r="B26">
        <v>28630.82</v>
      </c>
    </row>
    <row r="27" spans="1:3">
      <c r="A27" t="s">
        <v>126</v>
      </c>
      <c r="B27">
        <v>195217.76</v>
      </c>
    </row>
    <row r="30" spans="1:3">
      <c r="A30" s="10"/>
      <c r="B30" s="10"/>
      <c r="C30" s="10"/>
    </row>
    <row r="38" spans="1:2" ht="15.6">
      <c r="A38" s="11" t="s">
        <v>113</v>
      </c>
      <c r="B38" s="11" t="s">
        <v>114</v>
      </c>
    </row>
    <row r="39" spans="1:2">
      <c r="A39" s="8">
        <v>45383</v>
      </c>
      <c r="B39">
        <f>SUMIFS(Dataset!$E$2:$E$201,Dataset!$H$2:$H$201,"&gt;="&amp;A39,Dataset!$H$2:$H$201,"&lt;"&amp;EDATE(A39,1))</f>
        <v>19029.96</v>
      </c>
    </row>
    <row r="40" spans="1:2">
      <c r="A40" s="8">
        <f t="shared" ref="A40:A51" si="0">EDATE(A39,1)</f>
        <v>45413</v>
      </c>
      <c r="B40">
        <f>SUMIFS(Dataset!$E$2:$E$201,Dataset!$H$2:$H$201,"&gt;="&amp;A40,Dataset!$H$2:$H$201,"&lt;"&amp;EDATE(A40,1))</f>
        <v>18507.339999999997</v>
      </c>
    </row>
    <row r="41" spans="1:2">
      <c r="A41" s="8">
        <f t="shared" si="0"/>
        <v>45444</v>
      </c>
      <c r="B41">
        <f>SUMIFS(Dataset!$E$2:$E$201,Dataset!$H$2:$H$201,"&gt;="&amp;A41,Dataset!$H$2:$H$201,"&lt;"&amp;EDATE(A41,1))</f>
        <v>20187.509999999998</v>
      </c>
    </row>
    <row r="42" spans="1:2">
      <c r="A42" s="8">
        <f t="shared" si="0"/>
        <v>45474</v>
      </c>
      <c r="B42">
        <f>SUMIFS(Dataset!$E$2:$E$201,Dataset!$H$2:$H$201,"&gt;="&amp;A42,Dataset!$H$2:$H$201,"&lt;"&amp;EDATE(A42,1))</f>
        <v>11609.039999999999</v>
      </c>
    </row>
    <row r="43" spans="1:2">
      <c r="A43" s="8">
        <f t="shared" si="0"/>
        <v>45505</v>
      </c>
      <c r="B43">
        <f>SUMIFS(Dataset!$E$2:$E$201,Dataset!$H$2:$H$201,"&gt;="&amp;A43,Dataset!$H$2:$H$201,"&lt;"&amp;EDATE(A43,1))</f>
        <v>10091.699999999999</v>
      </c>
    </row>
    <row r="44" spans="1:2">
      <c r="A44" s="8">
        <f t="shared" si="0"/>
        <v>45536</v>
      </c>
      <c r="B44">
        <f>SUMIFS(Dataset!$E$2:$E$201,Dataset!$H$2:$H$201,"&gt;="&amp;A44,Dataset!$H$2:$H$201,"&lt;"&amp;EDATE(A44,1))</f>
        <v>20533.499999999996</v>
      </c>
    </row>
    <row r="45" spans="1:2">
      <c r="A45" s="8">
        <f t="shared" si="0"/>
        <v>45566</v>
      </c>
      <c r="B45">
        <f>SUMIFS(Dataset!$E$2:$E$201,Dataset!$H$2:$H$201,"&gt;="&amp;A45,Dataset!$H$2:$H$201,"&lt;"&amp;EDATE(A45,1))</f>
        <v>14215.240000000002</v>
      </c>
    </row>
    <row r="46" spans="1:2">
      <c r="A46" s="8">
        <f t="shared" si="0"/>
        <v>45597</v>
      </c>
      <c r="B46">
        <f>SUMIFS(Dataset!$E$2:$E$201,Dataset!$H$2:$H$201,"&gt;="&amp;A46,Dataset!$H$2:$H$201,"&lt;"&amp;EDATE(A46,1))</f>
        <v>20135.030000000002</v>
      </c>
    </row>
    <row r="47" spans="1:2">
      <c r="A47" s="8">
        <f t="shared" si="0"/>
        <v>45627</v>
      </c>
      <c r="B47">
        <f>SUMIFS(Dataset!$E$2:$E$201,Dataset!$H$2:$H$201,"&gt;="&amp;A47,Dataset!$H$2:$H$201,"&lt;"&amp;EDATE(A47,1))</f>
        <v>11120.04</v>
      </c>
    </row>
    <row r="48" spans="1:2">
      <c r="A48" s="8">
        <f t="shared" si="0"/>
        <v>45658</v>
      </c>
      <c r="B48">
        <f>SUMIFS(Dataset!$E$2:$E$201,Dataset!$H$2:$H$201,"&gt;="&amp;A48,Dataset!$H$2:$H$201,"&lt;"&amp;EDATE(A48,1))</f>
        <v>14914.650000000001</v>
      </c>
    </row>
    <row r="49" spans="1:5" ht="18">
      <c r="A49" s="8">
        <f t="shared" si="0"/>
        <v>45689</v>
      </c>
      <c r="B49">
        <f>SUMIFS(Dataset!$E$2:$E$201,Dataset!$H$2:$H$201,"&gt;="&amp;A49,Dataset!$H$2:$H$201,"&lt;"&amp;EDATE(A49,1))</f>
        <v>14006.359999999999</v>
      </c>
      <c r="C49" s="1"/>
    </row>
    <row r="50" spans="1:5">
      <c r="A50" s="8">
        <f t="shared" si="0"/>
        <v>45717</v>
      </c>
      <c r="B50">
        <f>SUMIFS(Dataset!$E$2:$E$201,Dataset!$H$2:$H$201,"&gt;="&amp;A50,Dataset!$H$2:$H$201,"&lt;"&amp;EDATE(A50,1))</f>
        <v>17655.219999999998</v>
      </c>
    </row>
    <row r="51" spans="1:5">
      <c r="A51" s="8">
        <f t="shared" si="0"/>
        <v>45748</v>
      </c>
      <c r="B51">
        <f>SUMIFS(Dataset!$E$2:$E$201,Dataset!$H$2:$H$201,"&gt;="&amp;A51,Dataset!$H$2:$H$201,"&lt;"&amp;EDATE(A51,1))</f>
        <v>3212.17</v>
      </c>
    </row>
    <row r="52" spans="1:5" ht="18">
      <c r="C52" s="1"/>
      <c r="D52" s="1"/>
      <c r="E52" s="1"/>
    </row>
    <row r="55" spans="1:5" ht="18">
      <c r="A55" s="1"/>
      <c r="B55" s="1"/>
      <c r="C55" s="1"/>
    </row>
  </sheetData>
  <mergeCells count="10">
    <mergeCell ref="A1:G1"/>
    <mergeCell ref="I1:O1"/>
    <mergeCell ref="A13:B13"/>
    <mergeCell ref="A14:B14"/>
    <mergeCell ref="C13:D13"/>
    <mergeCell ref="C14:D14"/>
    <mergeCell ref="E13:F13"/>
    <mergeCell ref="E14:F14"/>
    <mergeCell ref="G13:H13"/>
    <mergeCell ref="G14:H14"/>
  </mergeCells>
  <pageMargins left="0.75" right="0.75" top="1" bottom="1" header="0.5" footer="0.5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B0DA6-D724-41B5-95F3-E812B80A0838}">
  <dimension ref="A1"/>
  <sheetViews>
    <sheetView showGridLines="0" zoomScale="70" zoomScaleNormal="70" workbookViewId="0">
      <selection activeCell="AC25" sqref="AC25"/>
    </sheetView>
  </sheetViews>
  <sheetFormatPr defaultRowHeight="14.4"/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</vt:lpstr>
      <vt:lpstr>Analysis</vt:lpstr>
      <vt:lpstr>Dashboard</vt:lpstr>
      <vt:lpstr>Dashboard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HANEE PATEL</dc:creator>
  <cp:lastModifiedBy>HANEE PATEL</cp:lastModifiedBy>
  <dcterms:created xsi:type="dcterms:W3CDTF">2026-10-21T13:15:00Z</dcterms:created>
  <dcterms:modified xsi:type="dcterms:W3CDTF">2026-10-23T07:02:35Z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742DEC1AE7EC43A8BE8B125718B045F5_12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